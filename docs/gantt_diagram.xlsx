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senjo\Documents\GitHub\TFG_v2\docs\"/>
    </mc:Choice>
  </mc:AlternateContent>
  <xr:revisionPtr revIDLastSave="0" documentId="8_{5E9CB96D-35B3-43F7-8389-058113A65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mejorado" sheetId="1" r:id="rId1"/>
    <sheet name="Datos" sheetId="2" r:id="rId2"/>
    <sheet name="Resumen" sheetId="3" r:id="rId3"/>
    <sheet name="No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2" l="1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<sst xmlns="http://schemas.openxmlformats.org/spreadsheetml/2006/main" count="735" uniqueCount="214">
  <si>
    <t>PPAOB · Diagrama de Gantt mejorado</t>
  </si>
  <si>
    <t>Planificación visual R01–R08 · Barras por tipo de tarea · Fines de semana sombreados · Fechas editables</t>
  </si>
  <si>
    <t>Inicio
11/02/2026</t>
  </si>
  <si>
    <t>Fin
03/04/2026</t>
  </si>
  <si>
    <t>Duración total
52 días</t>
  </si>
  <si>
    <t>Elementos
45</t>
  </si>
  <si>
    <t>Requisitos
8</t>
  </si>
  <si>
    <t>Fase</t>
  </si>
  <si>
    <t>Requisito</t>
  </si>
  <si>
    <t>Función</t>
  </si>
  <si>
    <t>Tarea</t>
  </si>
  <si>
    <t>Hito fin</t>
  </si>
  <si>
    <t>Febrero 2026</t>
  </si>
  <si>
    <t>Marzo 2026</t>
  </si>
  <si>
    <t>Abril 2026</t>
  </si>
  <si>
    <t>X</t>
  </si>
  <si>
    <t>J</t>
  </si>
  <si>
    <t>V</t>
  </si>
  <si>
    <t>S</t>
  </si>
  <si>
    <t>D</t>
  </si>
  <si>
    <t>L</t>
  </si>
  <si>
    <t>M</t>
  </si>
  <si>
    <t>ID</t>
  </si>
  <si>
    <t>Tipo</t>
  </si>
  <si>
    <t>Inicio</t>
  </si>
  <si>
    <t>Fin</t>
  </si>
  <si>
    <t>Dur.</t>
  </si>
  <si>
    <t>Dep.</t>
  </si>
  <si>
    <t>Responsable</t>
  </si>
  <si>
    <t>Entregable</t>
  </si>
  <si>
    <t>PH1-000</t>
  </si>
  <si>
    <t>Fase 1 - Diseño y Documentación Funcional</t>
  </si>
  <si>
    <t>Mario</t>
  </si>
  <si>
    <t>Baseline funcional y técnica v1</t>
  </si>
  <si>
    <t>◆</t>
  </si>
  <si>
    <t>PH1-100</t>
  </si>
  <si>
    <t>R01 - Autenticación y autorización</t>
  </si>
  <si>
    <t>R01 definido y documentado</t>
  </si>
  <si>
    <t>PH1-110</t>
  </si>
  <si>
    <t>R01F01 - Diseño gestión de usuarios</t>
  </si>
  <si>
    <t>Flujos de usuarios definidos</t>
  </si>
  <si>
    <t>•</t>
  </si>
  <si>
    <t>PH1-111</t>
  </si>
  <si>
    <t>R01F01T01 - Modelo usuarios y roles</t>
  </si>
  <si>
    <t>Esquema users roles user_roles</t>
  </si>
  <si>
    <t>PH1-112</t>
  </si>
  <si>
    <t>R01F01T02 - Flujo creación usuarios por admin</t>
  </si>
  <si>
    <t>Flujo Auth documentado</t>
  </si>
  <si>
    <t>PH1-120</t>
  </si>
  <si>
    <t>R01F02 - Login y control de sesión</t>
  </si>
  <si>
    <t>Login y JWT definidos</t>
  </si>
  <si>
    <t>PH1-121</t>
  </si>
  <si>
    <t>R01F02T01 - Validación credenciales</t>
  </si>
  <si>
    <t>Proceso login documentado</t>
  </si>
  <si>
    <t>PH1-122</t>
  </si>
  <si>
    <t>R01F02T02 - Ciclo de vida JWT</t>
  </si>
  <si>
    <t>JWT lifecycle definido</t>
  </si>
  <si>
    <t>PH1-130</t>
  </si>
  <si>
    <t>R01F03 - Control de acceso por roles</t>
  </si>
  <si>
    <t>Reglas RBAC definidas</t>
  </si>
  <si>
    <t>PH1-200</t>
  </si>
  <si>
    <t>R02 - Persistencia y almacenamiento</t>
  </si>
  <si>
    <t>R02 definido y documentado</t>
  </si>
  <si>
    <t>PH1-210</t>
  </si>
  <si>
    <t>R02F01 - Infraestructura base de datos</t>
  </si>
  <si>
    <t>Postgres y migraciones definidos</t>
  </si>
  <si>
    <t>PH1-211</t>
  </si>
  <si>
    <t>R02F01T01 - Diseño esquema relacional</t>
  </si>
  <si>
    <t>Modelo relacional v1</t>
  </si>
  <si>
    <t>PH1-212</t>
  </si>
  <si>
    <t>R02F01T02 - Estrategia migraciones</t>
  </si>
  <si>
    <t>Estrategia Flyway definida</t>
  </si>
  <si>
    <t>PH1-220</t>
  </si>
  <si>
    <t>R02F02 - Almacenamiento resultados análisis</t>
  </si>
  <si>
    <t>Modelo persistencia análisis</t>
  </si>
  <si>
    <t>PH1-221</t>
  </si>
  <si>
    <t>R02F02T01 - Diseño analysis y results JSONB</t>
  </si>
  <si>
    <t>Tablas analyses y analysis_results</t>
  </si>
  <si>
    <t>PH1-222</t>
  </si>
  <si>
    <t>R02F02T02 - Índices y restricciones</t>
  </si>
  <si>
    <t>Estrategia índices definida</t>
  </si>
  <si>
    <t>PH1-300</t>
  </si>
  <si>
    <t>R03 - Gestión de binarios</t>
  </si>
  <si>
    <t>R03 definido y documentado</t>
  </si>
  <si>
    <t>PH1-310</t>
  </si>
  <si>
    <t>R03F01 - Subida y deduplicación binarios</t>
  </si>
  <si>
    <t>Flujo upload definido</t>
  </si>
  <si>
    <t>PH1-311</t>
  </si>
  <si>
    <t>R03F01T01 - Contrato subida binarios</t>
  </si>
  <si>
    <t>Endpoint upload documentado</t>
  </si>
  <si>
    <t>PH1-312</t>
  </si>
  <si>
    <t>R03F01T02 - Estrategia almacenamiento objetos</t>
  </si>
  <si>
    <t>Uso MinIO definido</t>
  </si>
  <si>
    <t>PH1-313</t>
  </si>
  <si>
    <t>R03F01T03 - Deduplicación por hash</t>
  </si>
  <si>
    <t>Flujo dedupe documentado</t>
  </si>
  <si>
    <t>PH1-320</t>
  </si>
  <si>
    <t>R03F02 - Identificación tipo binario</t>
  </si>
  <si>
    <t>Detección ELF definida</t>
  </si>
  <si>
    <t>PH1-321</t>
  </si>
  <si>
    <t>R03F02T01 - Reglas detección ELF</t>
  </si>
  <si>
    <t>Lógica detección documentada</t>
  </si>
  <si>
    <t>PH1-400</t>
  </si>
  <si>
    <t>R04 - Análisis estático</t>
  </si>
  <si>
    <t>R04 definido y documentado</t>
  </si>
  <si>
    <t>PH1-410</t>
  </si>
  <si>
    <t>R04F01 - Extracción estructura ELF</t>
  </si>
  <si>
    <t>Estructura ELF documentada</t>
  </si>
  <si>
    <t>PH1-411</t>
  </si>
  <si>
    <t>R04F01T01 - Cabeceras y secciones ELF</t>
  </si>
  <si>
    <t>Parse ELF definido</t>
  </si>
  <si>
    <t>PH1-412</t>
  </si>
  <si>
    <t>R04F01T02 - Dependencias y segmentos</t>
  </si>
  <si>
    <t>Deps y segments documentados</t>
  </si>
  <si>
    <t>PH1-420</t>
  </si>
  <si>
    <t>R04F02 - Evaluación mitigaciones</t>
  </si>
  <si>
    <t>NX PIE RELRO definidos</t>
  </si>
  <si>
    <t>PH1-500</t>
  </si>
  <si>
    <t>R05 - Análisis dinámico controlado</t>
  </si>
  <si>
    <t>Análisis dinámico baseline</t>
  </si>
  <si>
    <t>PH1-510</t>
  </si>
  <si>
    <t>R05F01 - Ejecución con control de tiempo</t>
  </si>
  <si>
    <t>Timeout y finalización segura</t>
  </si>
  <si>
    <t>PH1-511</t>
  </si>
  <si>
    <t>R05F01T01 - Ejecución del binario con timeout</t>
  </si>
  <si>
    <t>Binario infinito terminado correctamente</t>
  </si>
  <si>
    <t>PH1-520</t>
  </si>
  <si>
    <t>R05F02 - Registro de llamadas al sistema</t>
  </si>
  <si>
    <t>Agente dinámico C funcional</t>
  </si>
  <si>
    <t>PH1-521</t>
  </si>
  <si>
    <t>R05F02T01 - Captura básica de syscalls mediante ptrace</t>
  </si>
  <si>
    <t>Syscalls registradas</t>
  </si>
  <si>
    <t>PH1-522</t>
  </si>
  <si>
    <t>R05F02T02 - Emisión de eventos estructurados</t>
  </si>
  <si>
    <t>JSON/NDJSON parseable</t>
  </si>
  <si>
    <t>PH1-530</t>
  </si>
  <si>
    <t>R05F03 - Registro de accesos a ficheros</t>
  </si>
  <si>
    <t>Eventos de filesystem</t>
  </si>
  <si>
    <t>PH1-600</t>
  </si>
  <si>
    <t>R06 - Guardado y visualización de resultados</t>
  </si>
  <si>
    <t>Resultados persistidos y visibles</t>
  </si>
  <si>
    <t>PH1-610</t>
  </si>
  <si>
    <t>R06F01 - Persistencia de resultados JSONB</t>
  </si>
  <si>
    <t>analysis_results poblada</t>
  </si>
  <si>
    <t>PH1-620</t>
  </si>
  <si>
    <t>R06F02 - Visualización en frontend</t>
  </si>
  <si>
    <t>Vista de análisis con pestañas</t>
  </si>
  <si>
    <t>PH1-700</t>
  </si>
  <si>
    <t>R07 - Generación de informe</t>
  </si>
  <si>
    <t>Informe HTML descargable</t>
  </si>
  <si>
    <t>PH1-710</t>
  </si>
  <si>
    <t>R07F01 - Renderizado de informe HTML</t>
  </si>
  <si>
    <t>Informe con resumen y hallazgos</t>
  </si>
  <si>
    <t>PH1-720</t>
  </si>
  <si>
    <t>R07F02 - Descarga del informe</t>
  </si>
  <si>
    <t>Artefacto descargable desde backend</t>
  </si>
  <si>
    <t>PH1-800</t>
  </si>
  <si>
    <t>R08 - Auditoría de acciones</t>
  </si>
  <si>
    <t>Auditoría append-only</t>
  </si>
  <si>
    <t>PH1-810</t>
  </si>
  <si>
    <t>R08F01 - Registro de eventos de auditoría</t>
  </si>
  <si>
    <t>Eventos en audit_events</t>
  </si>
  <si>
    <t>PH1-820</t>
  </si>
  <si>
    <t>R08F02 - Auditoría automática de acciones clave</t>
  </si>
  <si>
    <t>Login, upload, análisis e informes auditados</t>
  </si>
  <si>
    <t>PH1-830</t>
  </si>
  <si>
    <t>R08F03 - Consulta administrativa de auditoría</t>
  </si>
  <si>
    <t>Filtros y paginación para ADMIN</t>
  </si>
  <si>
    <t>Duración original</t>
  </si>
  <si>
    <t>Duración calculada</t>
  </si>
  <si>
    <t>Dependencias</t>
  </si>
  <si>
    <t>Entregable/Salida</t>
  </si>
  <si>
    <t>Nivel</t>
  </si>
  <si>
    <t>Fase 1</t>
  </si>
  <si>
    <t>R01</t>
  </si>
  <si>
    <t>R02</t>
  </si>
  <si>
    <t>R03</t>
  </si>
  <si>
    <t>R04</t>
  </si>
  <si>
    <t>R05</t>
  </si>
  <si>
    <t>R06</t>
  </si>
  <si>
    <t>R07</t>
  </si>
  <si>
    <t>R08</t>
  </si>
  <si>
    <t>Resumen ejecutivo de planificación</t>
  </si>
  <si>
    <t>Bloque</t>
  </si>
  <si>
    <t>Descripción</t>
  </si>
  <si>
    <t>Días</t>
  </si>
  <si>
    <t>Nº elementos</t>
  </si>
  <si>
    <t>Entregable principal</t>
  </si>
  <si>
    <t>KPI</t>
  </si>
  <si>
    <t>Valor</t>
  </si>
  <si>
    <t>Autenticación y autorización</t>
  </si>
  <si>
    <t>Inicio proyecto</t>
  </si>
  <si>
    <t>Persistencia y almacenamiento</t>
  </si>
  <si>
    <t>Fin proyecto</t>
  </si>
  <si>
    <t>Gestión de binarios</t>
  </si>
  <si>
    <t>Duración total</t>
  </si>
  <si>
    <t>Análisis estático</t>
  </si>
  <si>
    <t>Total elementos</t>
  </si>
  <si>
    <t>Análisis dinámico controlado</t>
  </si>
  <si>
    <t>Dependencias declaradas</t>
  </si>
  <si>
    <t>Guardado y visualización de resultados</t>
  </si>
  <si>
    <t>Generación de informe</t>
  </si>
  <si>
    <t>Auditoría de acciones</t>
  </si>
  <si>
    <t>Notas de entrega</t>
  </si>
  <si>
    <t>1</t>
  </si>
  <si>
    <t>Se ha normalizado el formato de fechas mezclado en el texto pegado: YYYY-MM-DD y DD/MM/YYYY.</t>
  </si>
  <si>
    <t>2</t>
  </si>
  <si>
    <t>La hoja 'Gantt mejorado' usa formato condicional: si editas Inicio/Fin, las barras se actualizan al abrir/recalcular en Excel.</t>
  </si>
  <si>
    <t>3</t>
  </si>
  <si>
    <t>Los fines de semana aparecen sombreados para mejorar la lectura temporal.</t>
  </si>
  <si>
    <t>4</t>
  </si>
  <si>
    <t>La hoja 'Datos' conserva la tabla base y añade campos derivados: Tipo, Nivel y Requisito.</t>
  </si>
  <si>
    <t>5</t>
  </si>
  <si>
    <t>Observación: en la memoria aparece un bloque R09 de pruebas/documentación/cierre; no se añadió al Gantt principal porque no estaba en el texto pegado.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</si>
</sst>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18"/>
      <color rgb="FFFFFFFF"/>
      <name val="Carlito"/>
    </font>
    <font>
      <i/>
      <sz val="10"/>
      <color rgb="FFCBD5E1"/>
      <name val="Carlito"/>
    </font>
    <font>
      <b/>
      <sz val="10"/>
      <color rgb="FF123D4E"/>
      <name val="Carlito"/>
    </font>
    <font>
      <b/>
      <sz val="9"/>
      <color rgb="FFFFFFFF"/>
      <name val="Carlito"/>
    </font>
    <font>
      <b/>
      <sz val="9"/>
      <color rgb="FF243443"/>
      <name val="Carlito"/>
    </font>
    <font>
      <b/>
      <sz val="10"/>
      <color rgb="FFFFFFFF"/>
      <name val="Carlito"/>
    </font>
    <font>
      <b/>
      <sz val="8"/>
      <color rgb="FFFFFFFF"/>
      <name val="Carlito"/>
    </font>
    <font>
      <sz val="9"/>
      <color rgb="FF243443"/>
      <name val="Carlito"/>
    </font>
    <font>
      <b/>
      <sz val="9"/>
      <color rgb="FFF2A541"/>
      <name val="Carlito"/>
    </font>
    <font>
      <b/>
      <sz val="9"/>
      <color rgb="FF123D4E"/>
      <name val="Carlito"/>
    </font>
    <font>
      <b/>
      <sz val="9"/>
      <color rgb="FF0F4C5C"/>
      <name val="Carlito"/>
    </font>
    <font>
      <sz val="9"/>
      <color rgb="FF243443"/>
      <name val="Carlito"/>
    </font>
    <font>
      <sz val="8"/>
      <color rgb="FF3B4756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0"/>
      <color rgb="FF243443"/>
      <name val="Carlito"/>
    </font>
    <font>
      <sz val="11"/>
      <color rgb="FF243443"/>
      <name val="Carlito"/>
    </font>
    <font>
      <b/>
      <sz val="15"/>
      <color rgb="FFFFFFFF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2033"/>
      </patternFill>
    </fill>
    <fill>
      <patternFill patternType="solid">
        <fgColor rgb="FFEEF6F8"/>
      </patternFill>
    </fill>
    <fill>
      <patternFill patternType="solid">
        <fgColor rgb="FF123D4E"/>
      </patternFill>
    </fill>
    <fill>
      <patternFill patternType="solid">
        <fgColor rgb="FF0F4C5C"/>
      </patternFill>
    </fill>
    <fill>
      <patternFill patternType="solid">
        <fgColor rgb="FFD9A5B8"/>
      </patternFill>
    </fill>
    <fill>
      <patternFill patternType="solid">
        <fgColor rgb="FFF1D5DF"/>
      </patternFill>
    </fill>
    <fill>
      <patternFill patternType="solid">
        <fgColor rgb="FFF2A541"/>
      </patternFill>
    </fill>
    <fill>
      <patternFill patternType="solid">
        <fgColor rgb="FF203647"/>
      </patternFill>
    </fill>
    <fill>
      <patternFill patternType="solid">
        <fgColor rgb="FFE8F3F6"/>
      </patternFill>
    </fill>
    <fill>
      <patternFill patternType="solid">
        <fgColor rgb="FFF1F7F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11" borderId="0" xfId="0" applyFont="1" applyFill="1" applyAlignment="1">
      <alignment vertical="center" wrapText="1"/>
    </xf>
    <xf numFmtId="14" fontId="10" fillId="11" borderId="0" xfId="0" applyNumberFormat="1" applyFont="1" applyFill="1" applyAlignment="1">
      <alignment vertical="center" wrapText="1"/>
    </xf>
    <xf numFmtId="1" fontId="10" fillId="11" borderId="0" xfId="0" applyNumberFormat="1" applyFont="1" applyFill="1" applyAlignment="1">
      <alignment vertical="center" wrapText="1"/>
    </xf>
    <xf numFmtId="0" fontId="11" fillId="12" borderId="0" xfId="0" applyFont="1" applyFill="1" applyAlignment="1">
      <alignment vertical="center" wrapText="1"/>
    </xf>
    <xf numFmtId="14" fontId="11" fillId="12" borderId="0" xfId="0" applyNumberFormat="1" applyFont="1" applyFill="1" applyAlignment="1">
      <alignment vertical="center" wrapText="1"/>
    </xf>
    <xf numFmtId="1" fontId="11" fillId="12" borderId="0" xfId="0" applyNumberFormat="1" applyFont="1" applyFill="1" applyAlignment="1">
      <alignment vertical="center" wrapText="1"/>
    </xf>
    <xf numFmtId="0" fontId="12" fillId="13" borderId="0" xfId="0" applyFont="1" applyFill="1" applyAlignment="1">
      <alignment vertical="center" wrapText="1"/>
    </xf>
    <xf numFmtId="14" fontId="12" fillId="13" borderId="0" xfId="0" applyNumberFormat="1" applyFont="1" applyFill="1" applyAlignment="1">
      <alignment vertical="center" wrapText="1"/>
    </xf>
    <xf numFmtId="1" fontId="12" fillId="13" borderId="0" xfId="0" applyNumberFormat="1" applyFont="1" applyFill="1" applyAlignment="1">
      <alignment vertical="center" wrapText="1"/>
    </xf>
    <xf numFmtId="0" fontId="13" fillId="13" borderId="0" xfId="0" applyFont="1" applyFill="1" applyAlignment="1">
      <alignment vertical="center" wrapText="1"/>
    </xf>
    <xf numFmtId="14" fontId="13" fillId="13" borderId="0" xfId="0" applyNumberFormat="1" applyFont="1" applyFill="1" applyAlignment="1">
      <alignment vertical="center" wrapText="1"/>
    </xf>
    <xf numFmtId="1" fontId="13" fillId="13" borderId="0" xfId="0" applyNumberFormat="1" applyFont="1" applyFill="1" applyAlignment="1">
      <alignment vertical="center" wrapText="1"/>
    </xf>
    <xf numFmtId="0" fontId="1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14" fontId="16" fillId="0" borderId="0" xfId="0" applyNumberFormat="1" applyFont="1" applyAlignment="1">
      <alignment vertical="center" wrapText="1"/>
    </xf>
    <xf numFmtId="1" fontId="16" fillId="0" borderId="0" xfId="0" applyNumberFormat="1" applyFont="1" applyAlignment="1">
      <alignment vertical="center" wrapText="1"/>
    </xf>
    <xf numFmtId="0" fontId="17" fillId="14" borderId="0" xfId="0" applyFont="1" applyFill="1"/>
    <xf numFmtId="14" fontId="17" fillId="14" borderId="0" xfId="0" applyNumberFormat="1" applyFont="1" applyFill="1"/>
    <xf numFmtId="0" fontId="16" fillId="0" borderId="0" xfId="0" applyFont="1" applyAlignment="1">
      <alignment vertical="top" wrapText="1"/>
    </xf>
    <xf numFmtId="49" fontId="7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/>
    </xf>
  </cellXfs>
  <cellStyles count="1">
    <cellStyle name="Normal" xfId="0" builtinId="0"/>
  </cellStyles>
  <dxfs count="5">
    <dxf>
      <font>
        <b/>
        <color rgb="FF243443"/>
      </font>
      <fill>
        <patternFill patternType="solid">
          <bgColor rgb="FFF1D5DF"/>
        </patternFill>
      </fill>
    </dxf>
    <dxf>
      <font>
        <b/>
        <color rgb="FFFFFFFF"/>
      </font>
      <fill>
        <patternFill patternType="solid">
          <bgColor rgb="FFD9A5B8"/>
        </patternFill>
      </fill>
    </dxf>
    <dxf>
      <font>
        <b/>
        <color rgb="FFFFFFFF"/>
      </font>
      <fill>
        <patternFill patternType="solid">
          <bgColor rgb="FF0F4C5C"/>
        </patternFill>
      </fill>
    </dxf>
    <dxf>
      <font>
        <b/>
        <color rgb="FFFFFFFF"/>
      </font>
      <fill>
        <patternFill patternType="solid">
          <bgColor rgb="FF123D4E"/>
        </patternFill>
      </fill>
    </dxf>
    <dxf>
      <fill>
        <patternFill patternType="solid">
          <bgColor rgb="FFF7EF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Días</c:v>
          </c:tx>
          <c:invertIfNegative val="1"/>
          <c:cat>
            <c:strRef>
              <c:f>Resumen!$A$4:$A$11</c:f>
              <c:strCache>
                <c:ptCount val="8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</c:strCache>
            </c:strRef>
          </c:cat>
          <c:val>
            <c:numRef>
              <c:f>Resumen!$E$4:$E$11</c:f>
              <c:numCache>
                <c:formatCode>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10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D-4594-AAAD-97A4C290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sksTable" displayName="GanttTasksTable" ref="A8:I53">
  <tableColumns count="9">
    <tableColumn id="1" xr3:uid="{00000000-0010-0000-0000-000001000000}" name="ID"/>
    <tableColumn id="2" xr3:uid="{00000000-0010-0000-0000-000002000000}" name="Tarea"/>
    <tableColumn id="3" xr3:uid="{00000000-0010-0000-0000-000003000000}" name="Tipo"/>
    <tableColumn id="4" xr3:uid="{00000000-0010-0000-0000-000004000000}" name="Inicio"/>
    <tableColumn id="5" xr3:uid="{00000000-0010-0000-0000-000005000000}" name="Fin"/>
    <tableColumn id="6" xr3:uid="{00000000-0010-0000-0000-000006000000}" name="Dur."/>
    <tableColumn id="7" xr3:uid="{00000000-0010-0000-0000-000007000000}" name="Dep."/>
    <tableColumn id="8" xr3:uid="{00000000-0010-0000-0000-000008000000}" name="Responsable"/>
    <tableColumn id="9" xr3:uid="{00000000-0010-0000-0000-000009000000}" name="Entreg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osPlanificacion" displayName="DatosPlanificacion" ref="A1:L46">
  <tableColumns count="12">
    <tableColumn id="1" xr3:uid="{00000000-0010-0000-0100-000001000000}" name="ID"/>
    <tableColumn id="2" xr3:uid="{00000000-0010-0000-0100-000002000000}" name="Tarea"/>
    <tableColumn id="3" xr3:uid="{00000000-0010-0000-0100-000003000000}" name="Inicio"/>
    <tableColumn id="4" xr3:uid="{00000000-0010-0000-0100-000004000000}" name="Fin"/>
    <tableColumn id="5" xr3:uid="{00000000-0010-0000-0100-000005000000}" name="Duración original"/>
    <tableColumn id="6" xr3:uid="{00000000-0010-0000-0100-000006000000}" name="Duración calculada"/>
    <tableColumn id="7" xr3:uid="{00000000-0010-0000-0100-000007000000}" name="Dependencias"/>
    <tableColumn id="8" xr3:uid="{00000000-0010-0000-0100-000008000000}" name="Responsable"/>
    <tableColumn id="9" xr3:uid="{00000000-0010-0000-0100-000009000000}" name="Entregable/Salida"/>
    <tableColumn id="10" xr3:uid="{00000000-0010-0000-0100-00000A000000}" name="Tipo"/>
    <tableColumn id="11" xr3:uid="{00000000-0010-0000-0100-00000B000000}" name="Nivel"/>
    <tableColumn id="12" xr3:uid="{00000000-0010-0000-0100-00000C000000}" name="Requi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53"/>
  <sheetViews>
    <sheetView tabSelected="1" zoomScale="54" workbookViewId="0">
      <selection sqref="A1:BI53"/>
    </sheetView>
  </sheetViews>
  <sheetFormatPr defaultRowHeight="13.8"/>
  <cols>
    <col min="1" max="1" width="12" customWidth="1"/>
    <col min="2" max="2" width="42" customWidth="1"/>
    <col min="3" max="3" width="12" customWidth="1"/>
    <col min="4" max="5" width="11" customWidth="1"/>
    <col min="6" max="6" width="7" customWidth="1"/>
    <col min="7" max="7" width="13" customWidth="1"/>
    <col min="8" max="8" width="12" customWidth="1"/>
    <col min="9" max="9" width="34" customWidth="1"/>
    <col min="10" max="61" width="3.19921875" customWidth="1"/>
  </cols>
  <sheetData>
    <row r="1" spans="1:61" ht="27.1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 spans="1:61" ht="16.05" customHeight="1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</row>
    <row r="4" spans="1:61">
      <c r="A4" s="31" t="s">
        <v>2</v>
      </c>
      <c r="B4" s="29"/>
      <c r="C4" s="31" t="s">
        <v>3</v>
      </c>
      <c r="D4" s="29"/>
      <c r="E4" s="31" t="s">
        <v>4</v>
      </c>
      <c r="F4" s="29"/>
      <c r="G4" s="31" t="s">
        <v>5</v>
      </c>
      <c r="H4" s="29"/>
      <c r="I4" s="31" t="s">
        <v>6</v>
      </c>
      <c r="J4" s="32" t="s">
        <v>7</v>
      </c>
      <c r="K4" s="29"/>
      <c r="L4" s="29"/>
      <c r="M4" s="33" t="s">
        <v>8</v>
      </c>
      <c r="N4" s="29"/>
      <c r="O4" s="29"/>
      <c r="P4" s="34" t="s">
        <v>9</v>
      </c>
      <c r="Q4" s="29"/>
      <c r="R4" s="29"/>
      <c r="S4" s="35" t="s">
        <v>10</v>
      </c>
      <c r="T4" s="29"/>
      <c r="U4" s="29"/>
      <c r="V4" s="36" t="s">
        <v>11</v>
      </c>
      <c r="W4" s="29"/>
      <c r="X4" s="29"/>
    </row>
    <row r="5" spans="1:6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61">
      <c r="J6" s="37" t="s">
        <v>12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7" t="s">
        <v>13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7" t="s">
        <v>14</v>
      </c>
      <c r="BH6" s="29"/>
      <c r="BI6" s="29"/>
    </row>
    <row r="7" spans="1:61">
      <c r="J7" s="27" t="s">
        <v>15</v>
      </c>
      <c r="K7" s="27" t="s">
        <v>16</v>
      </c>
      <c r="L7" s="27" t="s">
        <v>17</v>
      </c>
      <c r="M7" s="27" t="s">
        <v>18</v>
      </c>
      <c r="N7" s="27" t="s">
        <v>19</v>
      </c>
      <c r="O7" s="27" t="s">
        <v>20</v>
      </c>
      <c r="P7" s="27" t="s">
        <v>21</v>
      </c>
      <c r="Q7" s="27" t="s">
        <v>15</v>
      </c>
      <c r="R7" s="27" t="s">
        <v>16</v>
      </c>
      <c r="S7" s="27" t="s">
        <v>17</v>
      </c>
      <c r="T7" s="27" t="s">
        <v>18</v>
      </c>
      <c r="U7" s="27" t="s">
        <v>19</v>
      </c>
      <c r="V7" s="27" t="s">
        <v>20</v>
      </c>
      <c r="W7" s="27" t="s">
        <v>21</v>
      </c>
      <c r="X7" s="27" t="s">
        <v>15</v>
      </c>
      <c r="Y7" s="27" t="s">
        <v>16</v>
      </c>
      <c r="Z7" s="27" t="s">
        <v>17</v>
      </c>
      <c r="AA7" s="27" t="s">
        <v>18</v>
      </c>
      <c r="AB7" s="27" t="s">
        <v>19</v>
      </c>
      <c r="AC7" s="27" t="s">
        <v>20</v>
      </c>
      <c r="AD7" s="27" t="s">
        <v>21</v>
      </c>
      <c r="AE7" s="27" t="s">
        <v>15</v>
      </c>
      <c r="AF7" s="27" t="s">
        <v>16</v>
      </c>
      <c r="AG7" s="27" t="s">
        <v>17</v>
      </c>
      <c r="AH7" s="27" t="s">
        <v>18</v>
      </c>
      <c r="AI7" s="27" t="s">
        <v>19</v>
      </c>
      <c r="AJ7" s="27" t="s">
        <v>20</v>
      </c>
      <c r="AK7" s="27" t="s">
        <v>21</v>
      </c>
      <c r="AL7" s="27" t="s">
        <v>15</v>
      </c>
      <c r="AM7" s="27" t="s">
        <v>16</v>
      </c>
      <c r="AN7" s="27" t="s">
        <v>17</v>
      </c>
      <c r="AO7" s="27" t="s">
        <v>18</v>
      </c>
      <c r="AP7" s="27" t="s">
        <v>19</v>
      </c>
      <c r="AQ7" s="27" t="s">
        <v>20</v>
      </c>
      <c r="AR7" s="27" t="s">
        <v>21</v>
      </c>
      <c r="AS7" s="27" t="s">
        <v>15</v>
      </c>
      <c r="AT7" s="27" t="s">
        <v>16</v>
      </c>
      <c r="AU7" s="27" t="s">
        <v>17</v>
      </c>
      <c r="AV7" s="27" t="s">
        <v>18</v>
      </c>
      <c r="AW7" s="27" t="s">
        <v>19</v>
      </c>
      <c r="AX7" s="27" t="s">
        <v>20</v>
      </c>
      <c r="AY7" s="27" t="s">
        <v>21</v>
      </c>
      <c r="AZ7" s="27" t="s">
        <v>15</v>
      </c>
      <c r="BA7" s="27" t="s">
        <v>16</v>
      </c>
      <c r="BB7" s="27" t="s">
        <v>17</v>
      </c>
      <c r="BC7" s="27" t="s">
        <v>18</v>
      </c>
      <c r="BD7" s="27" t="s">
        <v>19</v>
      </c>
      <c r="BE7" s="27" t="s">
        <v>20</v>
      </c>
      <c r="BF7" s="27" t="s">
        <v>21</v>
      </c>
      <c r="BG7" s="27" t="s">
        <v>15</v>
      </c>
      <c r="BH7" s="27" t="s">
        <v>16</v>
      </c>
      <c r="BI7" s="27" t="s">
        <v>17</v>
      </c>
    </row>
    <row r="8" spans="1:61" ht="19.2" customHeight="1">
      <c r="A8" s="1" t="s">
        <v>22</v>
      </c>
      <c r="B8" s="1" t="s">
        <v>10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2">
        <v>11</v>
      </c>
      <c r="K8" s="2">
        <v>12</v>
      </c>
      <c r="L8" s="2">
        <v>13</v>
      </c>
      <c r="M8" s="2">
        <v>14</v>
      </c>
      <c r="N8" s="2">
        <v>15</v>
      </c>
      <c r="O8" s="2">
        <v>16</v>
      </c>
      <c r="P8" s="2">
        <v>17</v>
      </c>
      <c r="Q8" s="2">
        <v>18</v>
      </c>
      <c r="R8" s="2">
        <v>19</v>
      </c>
      <c r="S8" s="2">
        <v>20</v>
      </c>
      <c r="T8" s="2">
        <v>21</v>
      </c>
      <c r="U8" s="2">
        <v>22</v>
      </c>
      <c r="V8" s="2">
        <v>23</v>
      </c>
      <c r="W8" s="2">
        <v>24</v>
      </c>
      <c r="X8" s="2">
        <v>25</v>
      </c>
      <c r="Y8" s="2">
        <v>26</v>
      </c>
      <c r="Z8" s="2">
        <v>27</v>
      </c>
      <c r="AA8" s="2">
        <v>28</v>
      </c>
      <c r="AB8" s="2">
        <v>1</v>
      </c>
      <c r="AC8" s="2">
        <v>2</v>
      </c>
      <c r="AD8" s="2">
        <v>3</v>
      </c>
      <c r="AE8" s="2">
        <v>4</v>
      </c>
      <c r="AF8" s="2">
        <v>5</v>
      </c>
      <c r="AG8" s="2">
        <v>6</v>
      </c>
      <c r="AH8" s="2">
        <v>7</v>
      </c>
      <c r="AI8" s="2">
        <v>8</v>
      </c>
      <c r="AJ8" s="2">
        <v>9</v>
      </c>
      <c r="AK8" s="2">
        <v>10</v>
      </c>
      <c r="AL8" s="2">
        <v>11</v>
      </c>
      <c r="AM8" s="2">
        <v>12</v>
      </c>
      <c r="AN8" s="2">
        <v>13</v>
      </c>
      <c r="AO8" s="2">
        <v>14</v>
      </c>
      <c r="AP8" s="2">
        <v>15</v>
      </c>
      <c r="AQ8" s="2">
        <v>16</v>
      </c>
      <c r="AR8" s="2">
        <v>17</v>
      </c>
      <c r="AS8" s="2">
        <v>18</v>
      </c>
      <c r="AT8" s="2">
        <v>19</v>
      </c>
      <c r="AU8" s="2">
        <v>20</v>
      </c>
      <c r="AV8" s="2">
        <v>21</v>
      </c>
      <c r="AW8" s="2">
        <v>22</v>
      </c>
      <c r="AX8" s="2">
        <v>23</v>
      </c>
      <c r="AY8" s="2">
        <v>24</v>
      </c>
      <c r="AZ8" s="2">
        <v>25</v>
      </c>
      <c r="BA8" s="2">
        <v>26</v>
      </c>
      <c r="BB8" s="2">
        <v>27</v>
      </c>
      <c r="BC8" s="2">
        <v>28</v>
      </c>
      <c r="BD8" s="2">
        <v>29</v>
      </c>
      <c r="BE8" s="2">
        <v>30</v>
      </c>
      <c r="BF8" s="2">
        <v>31</v>
      </c>
      <c r="BG8" s="2">
        <v>1</v>
      </c>
      <c r="BH8" s="2">
        <v>2</v>
      </c>
      <c r="BI8" s="2">
        <v>3</v>
      </c>
    </row>
    <row r="9" spans="1:61" ht="19.95" customHeight="1">
      <c r="A9" s="7" t="s">
        <v>30</v>
      </c>
      <c r="B9" s="7" t="s">
        <v>31</v>
      </c>
      <c r="C9" s="7" t="s">
        <v>7</v>
      </c>
      <c r="D9" s="8">
        <v>46064</v>
      </c>
      <c r="E9" s="8">
        <v>46082</v>
      </c>
      <c r="F9" s="9">
        <f t="shared" ref="F9:F53" si="0">E9-D9+1</f>
        <v>19</v>
      </c>
      <c r="G9" s="7"/>
      <c r="H9" s="7" t="s">
        <v>32</v>
      </c>
      <c r="I9" s="7" t="s">
        <v>33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 t="s">
        <v>34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</row>
    <row r="10" spans="1:61" ht="17.55" customHeight="1">
      <c r="A10" s="10" t="s">
        <v>35</v>
      </c>
      <c r="B10" s="10" t="s">
        <v>36</v>
      </c>
      <c r="C10" s="10" t="s">
        <v>8</v>
      </c>
      <c r="D10" s="11">
        <v>46064</v>
      </c>
      <c r="E10" s="11">
        <v>46069</v>
      </c>
      <c r="F10" s="12">
        <f t="shared" si="0"/>
        <v>6</v>
      </c>
      <c r="G10" s="10"/>
      <c r="H10" s="10" t="s">
        <v>32</v>
      </c>
      <c r="I10" s="10" t="s">
        <v>37</v>
      </c>
      <c r="J10" s="6"/>
      <c r="K10" s="6"/>
      <c r="L10" s="6"/>
      <c r="M10" s="6"/>
      <c r="N10" s="6"/>
      <c r="O10" s="6" t="s">
        <v>34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 ht="16.05" customHeight="1">
      <c r="A11" s="13" t="s">
        <v>38</v>
      </c>
      <c r="B11" s="13" t="s">
        <v>39</v>
      </c>
      <c r="C11" s="13" t="s">
        <v>9</v>
      </c>
      <c r="D11" s="14">
        <v>46064</v>
      </c>
      <c r="E11" s="14">
        <v>46066</v>
      </c>
      <c r="F11" s="15">
        <f t="shared" si="0"/>
        <v>3</v>
      </c>
      <c r="G11" s="13"/>
      <c r="H11" s="13" t="s">
        <v>32</v>
      </c>
      <c r="I11" s="13" t="s">
        <v>40</v>
      </c>
      <c r="J11" s="6"/>
      <c r="K11" s="6"/>
      <c r="L11" s="6" t="s">
        <v>41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 ht="14.4" customHeight="1">
      <c r="A12" s="16" t="s">
        <v>42</v>
      </c>
      <c r="B12" s="16" t="s">
        <v>43</v>
      </c>
      <c r="C12" s="16" t="s">
        <v>10</v>
      </c>
      <c r="D12" s="17">
        <v>46064</v>
      </c>
      <c r="E12" s="17">
        <v>46065</v>
      </c>
      <c r="F12" s="18">
        <f t="shared" si="0"/>
        <v>2</v>
      </c>
      <c r="G12" s="16"/>
      <c r="H12" s="16" t="s">
        <v>32</v>
      </c>
      <c r="I12" s="16" t="s">
        <v>44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ht="14.4" customHeight="1">
      <c r="A13" s="16" t="s">
        <v>45</v>
      </c>
      <c r="B13" s="16" t="s">
        <v>46</v>
      </c>
      <c r="C13" s="16" t="s">
        <v>10</v>
      </c>
      <c r="D13" s="17">
        <v>46065</v>
      </c>
      <c r="E13" s="17">
        <v>46066</v>
      </c>
      <c r="F13" s="18">
        <f t="shared" si="0"/>
        <v>2</v>
      </c>
      <c r="G13" s="16" t="s">
        <v>42</v>
      </c>
      <c r="H13" s="16" t="s">
        <v>32</v>
      </c>
      <c r="I13" s="16" t="s">
        <v>47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61" ht="16.05" customHeight="1">
      <c r="A14" s="13" t="s">
        <v>48</v>
      </c>
      <c r="B14" s="13" t="s">
        <v>49</v>
      </c>
      <c r="C14" s="13" t="s">
        <v>9</v>
      </c>
      <c r="D14" s="14">
        <v>46066</v>
      </c>
      <c r="E14" s="14">
        <v>46068</v>
      </c>
      <c r="F14" s="15">
        <f t="shared" si="0"/>
        <v>3</v>
      </c>
      <c r="G14" s="13" t="s">
        <v>38</v>
      </c>
      <c r="H14" s="13" t="s">
        <v>32</v>
      </c>
      <c r="I14" s="13" t="s">
        <v>50</v>
      </c>
      <c r="J14" s="6"/>
      <c r="K14" s="6"/>
      <c r="L14" s="6"/>
      <c r="M14" s="6"/>
      <c r="N14" s="6" t="s">
        <v>41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</row>
    <row r="15" spans="1:61" ht="14.4" customHeight="1">
      <c r="A15" s="16" t="s">
        <v>51</v>
      </c>
      <c r="B15" s="16" t="s">
        <v>52</v>
      </c>
      <c r="C15" s="16" t="s">
        <v>10</v>
      </c>
      <c r="D15" s="17">
        <v>46066</v>
      </c>
      <c r="E15" s="17">
        <v>46067</v>
      </c>
      <c r="F15" s="18">
        <f t="shared" si="0"/>
        <v>2</v>
      </c>
      <c r="G15" s="16" t="s">
        <v>38</v>
      </c>
      <c r="H15" s="16" t="s">
        <v>32</v>
      </c>
      <c r="I15" s="16" t="s">
        <v>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</row>
    <row r="16" spans="1:61" ht="14.4" customHeight="1">
      <c r="A16" s="16" t="s">
        <v>54</v>
      </c>
      <c r="B16" s="16" t="s">
        <v>55</v>
      </c>
      <c r="C16" s="16" t="s">
        <v>10</v>
      </c>
      <c r="D16" s="17">
        <v>46067</v>
      </c>
      <c r="E16" s="17">
        <v>46068</v>
      </c>
      <c r="F16" s="18">
        <f t="shared" si="0"/>
        <v>2</v>
      </c>
      <c r="G16" s="16" t="s">
        <v>51</v>
      </c>
      <c r="H16" s="16" t="s">
        <v>32</v>
      </c>
      <c r="I16" s="16" t="s">
        <v>56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</row>
    <row r="17" spans="1:61" ht="16.05" customHeight="1">
      <c r="A17" s="13" t="s">
        <v>57</v>
      </c>
      <c r="B17" s="13" t="s">
        <v>58</v>
      </c>
      <c r="C17" s="13" t="s">
        <v>9</v>
      </c>
      <c r="D17" s="14">
        <v>46068</v>
      </c>
      <c r="E17" s="14">
        <v>46069</v>
      </c>
      <c r="F17" s="15">
        <f t="shared" si="0"/>
        <v>2</v>
      </c>
      <c r="G17" s="13" t="s">
        <v>48</v>
      </c>
      <c r="H17" s="13" t="s">
        <v>32</v>
      </c>
      <c r="I17" s="13" t="s">
        <v>59</v>
      </c>
      <c r="J17" s="6"/>
      <c r="K17" s="6"/>
      <c r="L17" s="6"/>
      <c r="M17" s="6"/>
      <c r="N17" s="6"/>
      <c r="O17" s="6" t="s">
        <v>41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</row>
    <row r="18" spans="1:61" ht="17.55" customHeight="1">
      <c r="A18" s="10" t="s">
        <v>60</v>
      </c>
      <c r="B18" s="10" t="s">
        <v>61</v>
      </c>
      <c r="C18" s="10" t="s">
        <v>8</v>
      </c>
      <c r="D18" s="11">
        <v>46069</v>
      </c>
      <c r="E18" s="11">
        <v>46074</v>
      </c>
      <c r="F18" s="12">
        <f t="shared" si="0"/>
        <v>6</v>
      </c>
      <c r="G18" s="10" t="s">
        <v>35</v>
      </c>
      <c r="H18" s="10" t="s">
        <v>32</v>
      </c>
      <c r="I18" s="10" t="s">
        <v>62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 t="s">
        <v>34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</row>
    <row r="19" spans="1:61" ht="16.05" customHeight="1">
      <c r="A19" s="13" t="s">
        <v>63</v>
      </c>
      <c r="B19" s="13" t="s">
        <v>64</v>
      </c>
      <c r="C19" s="13" t="s">
        <v>9</v>
      </c>
      <c r="D19" s="14">
        <v>46069</v>
      </c>
      <c r="E19" s="14">
        <v>46071</v>
      </c>
      <c r="F19" s="15">
        <f t="shared" si="0"/>
        <v>3</v>
      </c>
      <c r="G19" s="13" t="s">
        <v>35</v>
      </c>
      <c r="H19" s="13" t="s">
        <v>32</v>
      </c>
      <c r="I19" s="13" t="s">
        <v>65</v>
      </c>
      <c r="J19" s="6"/>
      <c r="K19" s="6"/>
      <c r="L19" s="6"/>
      <c r="M19" s="6"/>
      <c r="N19" s="6"/>
      <c r="O19" s="6"/>
      <c r="P19" s="6"/>
      <c r="Q19" s="6" t="s">
        <v>41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</row>
    <row r="20" spans="1:61" ht="14.4" customHeight="1">
      <c r="A20" s="16" t="s">
        <v>66</v>
      </c>
      <c r="B20" s="16" t="s">
        <v>67</v>
      </c>
      <c r="C20" s="16" t="s">
        <v>10</v>
      </c>
      <c r="D20" s="17">
        <v>46069</v>
      </c>
      <c r="E20" s="17">
        <v>46070</v>
      </c>
      <c r="F20" s="18">
        <f t="shared" si="0"/>
        <v>2</v>
      </c>
      <c r="G20" s="16"/>
      <c r="H20" s="16" t="s">
        <v>32</v>
      </c>
      <c r="I20" s="16" t="s">
        <v>68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</row>
    <row r="21" spans="1:61" ht="14.4" customHeight="1">
      <c r="A21" s="16" t="s">
        <v>69</v>
      </c>
      <c r="B21" s="16" t="s">
        <v>70</v>
      </c>
      <c r="C21" s="16" t="s">
        <v>10</v>
      </c>
      <c r="D21" s="17">
        <v>46070</v>
      </c>
      <c r="E21" s="17">
        <v>46071</v>
      </c>
      <c r="F21" s="18">
        <f t="shared" si="0"/>
        <v>2</v>
      </c>
      <c r="G21" s="16" t="s">
        <v>66</v>
      </c>
      <c r="H21" s="16" t="s">
        <v>32</v>
      </c>
      <c r="I21" s="16" t="s">
        <v>71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</row>
    <row r="22" spans="1:61" ht="16.05" customHeight="1">
      <c r="A22" s="13" t="s">
        <v>72</v>
      </c>
      <c r="B22" s="13" t="s">
        <v>73</v>
      </c>
      <c r="C22" s="13" t="s">
        <v>9</v>
      </c>
      <c r="D22" s="14">
        <v>46071</v>
      </c>
      <c r="E22" s="14">
        <v>46074</v>
      </c>
      <c r="F22" s="15">
        <f t="shared" si="0"/>
        <v>4</v>
      </c>
      <c r="G22" s="13" t="s">
        <v>63</v>
      </c>
      <c r="H22" s="13" t="s">
        <v>32</v>
      </c>
      <c r="I22" s="13" t="s">
        <v>74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 t="s">
        <v>41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</row>
    <row r="23" spans="1:61" ht="14.4" customHeight="1">
      <c r="A23" s="16" t="s">
        <v>75</v>
      </c>
      <c r="B23" s="16" t="s">
        <v>76</v>
      </c>
      <c r="C23" s="16" t="s">
        <v>10</v>
      </c>
      <c r="D23" s="17">
        <v>46071</v>
      </c>
      <c r="E23" s="17">
        <v>46073</v>
      </c>
      <c r="F23" s="18">
        <f t="shared" si="0"/>
        <v>3</v>
      </c>
      <c r="G23" s="16" t="s">
        <v>63</v>
      </c>
      <c r="H23" s="16" t="s">
        <v>32</v>
      </c>
      <c r="I23" s="16" t="s">
        <v>77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1:61" ht="14.4" customHeight="1">
      <c r="A24" s="16" t="s">
        <v>78</v>
      </c>
      <c r="B24" s="16" t="s">
        <v>79</v>
      </c>
      <c r="C24" s="16" t="s">
        <v>10</v>
      </c>
      <c r="D24" s="17">
        <v>46073</v>
      </c>
      <c r="E24" s="17">
        <v>46074</v>
      </c>
      <c r="F24" s="18">
        <f t="shared" si="0"/>
        <v>2</v>
      </c>
      <c r="G24" s="16" t="s">
        <v>75</v>
      </c>
      <c r="H24" s="16" t="s">
        <v>32</v>
      </c>
      <c r="I24" s="16" t="s">
        <v>80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</row>
    <row r="25" spans="1:61" ht="17.55" customHeight="1">
      <c r="A25" s="10" t="s">
        <v>81</v>
      </c>
      <c r="B25" s="10" t="s">
        <v>82</v>
      </c>
      <c r="C25" s="10" t="s">
        <v>8</v>
      </c>
      <c r="D25" s="11">
        <v>46074</v>
      </c>
      <c r="E25" s="11">
        <v>46079</v>
      </c>
      <c r="F25" s="12">
        <f t="shared" si="0"/>
        <v>6</v>
      </c>
      <c r="G25" s="10" t="s">
        <v>60</v>
      </c>
      <c r="H25" s="10" t="s">
        <v>32</v>
      </c>
      <c r="I25" s="10" t="s">
        <v>83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 t="s">
        <v>34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</row>
    <row r="26" spans="1:61" ht="16.05" customHeight="1">
      <c r="A26" s="13" t="s">
        <v>84</v>
      </c>
      <c r="B26" s="13" t="s">
        <v>85</v>
      </c>
      <c r="C26" s="13" t="s">
        <v>9</v>
      </c>
      <c r="D26" s="14">
        <v>46074</v>
      </c>
      <c r="E26" s="14">
        <v>46077</v>
      </c>
      <c r="F26" s="15">
        <f t="shared" si="0"/>
        <v>4</v>
      </c>
      <c r="G26" s="13" t="s">
        <v>60</v>
      </c>
      <c r="H26" s="13" t="s">
        <v>32</v>
      </c>
      <c r="I26" s="13" t="s">
        <v>86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 t="s">
        <v>41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</row>
    <row r="27" spans="1:61" ht="14.4" customHeight="1">
      <c r="A27" s="16" t="s">
        <v>87</v>
      </c>
      <c r="B27" s="16" t="s">
        <v>88</v>
      </c>
      <c r="C27" s="16" t="s">
        <v>10</v>
      </c>
      <c r="D27" s="17">
        <v>46074</v>
      </c>
      <c r="E27" s="17">
        <v>46075</v>
      </c>
      <c r="F27" s="18">
        <f t="shared" si="0"/>
        <v>2</v>
      </c>
      <c r="G27" s="16"/>
      <c r="H27" s="16" t="s">
        <v>32</v>
      </c>
      <c r="I27" s="16" t="s">
        <v>89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</row>
    <row r="28" spans="1:61" ht="14.4" customHeight="1">
      <c r="A28" s="16" t="s">
        <v>90</v>
      </c>
      <c r="B28" s="16" t="s">
        <v>91</v>
      </c>
      <c r="C28" s="16" t="s">
        <v>10</v>
      </c>
      <c r="D28" s="17">
        <v>46075</v>
      </c>
      <c r="E28" s="17">
        <v>46076</v>
      </c>
      <c r="F28" s="18">
        <f t="shared" si="0"/>
        <v>2</v>
      </c>
      <c r="G28" s="16" t="s">
        <v>87</v>
      </c>
      <c r="H28" s="16" t="s">
        <v>32</v>
      </c>
      <c r="I28" s="16" t="s">
        <v>92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</row>
    <row r="29" spans="1:61" ht="14.4" customHeight="1">
      <c r="A29" s="16" t="s">
        <v>93</v>
      </c>
      <c r="B29" s="16" t="s">
        <v>94</v>
      </c>
      <c r="C29" s="16" t="s">
        <v>10</v>
      </c>
      <c r="D29" s="17">
        <v>46076</v>
      </c>
      <c r="E29" s="17">
        <v>46077</v>
      </c>
      <c r="F29" s="18">
        <f t="shared" si="0"/>
        <v>2</v>
      </c>
      <c r="G29" s="16" t="s">
        <v>90</v>
      </c>
      <c r="H29" s="16" t="s">
        <v>32</v>
      </c>
      <c r="I29" s="16" t="s">
        <v>95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</row>
    <row r="30" spans="1:61" ht="16.05" customHeight="1">
      <c r="A30" s="13" t="s">
        <v>96</v>
      </c>
      <c r="B30" s="13" t="s">
        <v>97</v>
      </c>
      <c r="C30" s="13" t="s">
        <v>9</v>
      </c>
      <c r="D30" s="14">
        <v>46077</v>
      </c>
      <c r="E30" s="14">
        <v>46079</v>
      </c>
      <c r="F30" s="15">
        <f t="shared" si="0"/>
        <v>3</v>
      </c>
      <c r="G30" s="13" t="s">
        <v>84</v>
      </c>
      <c r="H30" s="13" t="s">
        <v>32</v>
      </c>
      <c r="I30" s="13" t="s">
        <v>98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 t="s">
        <v>41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</row>
    <row r="31" spans="1:61" ht="14.4" customHeight="1">
      <c r="A31" s="16" t="s">
        <v>99</v>
      </c>
      <c r="B31" s="16" t="s">
        <v>100</v>
      </c>
      <c r="C31" s="16" t="s">
        <v>10</v>
      </c>
      <c r="D31" s="17">
        <v>46077</v>
      </c>
      <c r="E31" s="17">
        <v>46078</v>
      </c>
      <c r="F31" s="18">
        <f t="shared" si="0"/>
        <v>2</v>
      </c>
      <c r="G31" s="16"/>
      <c r="H31" s="16" t="s">
        <v>32</v>
      </c>
      <c r="I31" s="16" t="s">
        <v>101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</row>
    <row r="32" spans="1:61" ht="17.55" customHeight="1">
      <c r="A32" s="10" t="s">
        <v>102</v>
      </c>
      <c r="B32" s="10" t="s">
        <v>103</v>
      </c>
      <c r="C32" s="10" t="s">
        <v>8</v>
      </c>
      <c r="D32" s="11">
        <v>46079</v>
      </c>
      <c r="E32" s="11">
        <v>46082</v>
      </c>
      <c r="F32" s="12">
        <f t="shared" si="0"/>
        <v>4</v>
      </c>
      <c r="G32" s="10" t="s">
        <v>81</v>
      </c>
      <c r="H32" s="10" t="s">
        <v>32</v>
      </c>
      <c r="I32" s="10" t="s">
        <v>104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 t="s">
        <v>34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</row>
    <row r="33" spans="1:61" ht="16.05" customHeight="1">
      <c r="A33" s="13" t="s">
        <v>105</v>
      </c>
      <c r="B33" s="13" t="s">
        <v>106</v>
      </c>
      <c r="C33" s="13" t="s">
        <v>9</v>
      </c>
      <c r="D33" s="14">
        <v>46079</v>
      </c>
      <c r="E33" s="14">
        <v>46081</v>
      </c>
      <c r="F33" s="15">
        <f t="shared" si="0"/>
        <v>3</v>
      </c>
      <c r="G33" s="13" t="s">
        <v>81</v>
      </c>
      <c r="H33" s="13" t="s">
        <v>32</v>
      </c>
      <c r="I33" s="13" t="s">
        <v>107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 t="s">
        <v>41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</row>
    <row r="34" spans="1:61" ht="14.4" customHeight="1">
      <c r="A34" s="16" t="s">
        <v>108</v>
      </c>
      <c r="B34" s="16" t="s">
        <v>109</v>
      </c>
      <c r="C34" s="16" t="s">
        <v>10</v>
      </c>
      <c r="D34" s="17">
        <v>46079</v>
      </c>
      <c r="E34" s="17">
        <v>46080</v>
      </c>
      <c r="F34" s="18">
        <f t="shared" si="0"/>
        <v>2</v>
      </c>
      <c r="G34" s="16"/>
      <c r="H34" s="16" t="s">
        <v>32</v>
      </c>
      <c r="I34" s="16" t="s">
        <v>110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</row>
    <row r="35" spans="1:61" ht="14.4" customHeight="1">
      <c r="A35" s="16" t="s">
        <v>111</v>
      </c>
      <c r="B35" s="16" t="s">
        <v>112</v>
      </c>
      <c r="C35" s="16" t="s">
        <v>10</v>
      </c>
      <c r="D35" s="17">
        <v>46080</v>
      </c>
      <c r="E35" s="17">
        <v>46081</v>
      </c>
      <c r="F35" s="18">
        <f t="shared" si="0"/>
        <v>2</v>
      </c>
      <c r="G35" s="16" t="s">
        <v>108</v>
      </c>
      <c r="H35" s="16" t="s">
        <v>32</v>
      </c>
      <c r="I35" s="16" t="s">
        <v>113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</row>
    <row r="36" spans="1:61" ht="16.05" customHeight="1">
      <c r="A36" s="13" t="s">
        <v>114</v>
      </c>
      <c r="B36" s="13" t="s">
        <v>115</v>
      </c>
      <c r="C36" s="13" t="s">
        <v>9</v>
      </c>
      <c r="D36" s="14">
        <v>46081</v>
      </c>
      <c r="E36" s="14">
        <v>46082</v>
      </c>
      <c r="F36" s="15">
        <f t="shared" si="0"/>
        <v>2</v>
      </c>
      <c r="G36" s="13" t="s">
        <v>105</v>
      </c>
      <c r="H36" s="13" t="s">
        <v>32</v>
      </c>
      <c r="I36" s="13" t="s">
        <v>116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 t="s">
        <v>41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</row>
    <row r="37" spans="1:61" ht="17.55" customHeight="1">
      <c r="A37" s="10" t="s">
        <v>117</v>
      </c>
      <c r="B37" s="10" t="s">
        <v>118</v>
      </c>
      <c r="C37" s="10" t="s">
        <v>8</v>
      </c>
      <c r="D37" s="11">
        <v>46083</v>
      </c>
      <c r="E37" s="11">
        <v>46092</v>
      </c>
      <c r="F37" s="12">
        <f t="shared" si="0"/>
        <v>10</v>
      </c>
      <c r="G37" s="10" t="s">
        <v>102</v>
      </c>
      <c r="H37" s="10" t="s">
        <v>32</v>
      </c>
      <c r="I37" s="10" t="s">
        <v>119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 t="s">
        <v>34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</row>
    <row r="38" spans="1:61" ht="16.05" customHeight="1">
      <c r="A38" s="13" t="s">
        <v>120</v>
      </c>
      <c r="B38" s="13" t="s">
        <v>121</v>
      </c>
      <c r="C38" s="13" t="s">
        <v>9</v>
      </c>
      <c r="D38" s="14">
        <v>46083</v>
      </c>
      <c r="E38" s="14">
        <v>46085</v>
      </c>
      <c r="F38" s="15">
        <f t="shared" si="0"/>
        <v>3</v>
      </c>
      <c r="G38" s="13" t="s">
        <v>102</v>
      </c>
      <c r="H38" s="13" t="s">
        <v>32</v>
      </c>
      <c r="I38" s="13" t="s">
        <v>122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 t="s">
        <v>41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</row>
    <row r="39" spans="1:61" ht="14.4" customHeight="1">
      <c r="A39" s="16" t="s">
        <v>123</v>
      </c>
      <c r="B39" s="16" t="s">
        <v>124</v>
      </c>
      <c r="C39" s="16" t="s">
        <v>10</v>
      </c>
      <c r="D39" s="17">
        <v>46083</v>
      </c>
      <c r="E39" s="17">
        <v>46085</v>
      </c>
      <c r="F39" s="18">
        <f t="shared" si="0"/>
        <v>3</v>
      </c>
      <c r="G39" s="16" t="s">
        <v>120</v>
      </c>
      <c r="H39" s="16" t="s">
        <v>32</v>
      </c>
      <c r="I39" s="16" t="s">
        <v>125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</row>
    <row r="40" spans="1:61" ht="16.05" customHeight="1">
      <c r="A40" s="13" t="s">
        <v>126</v>
      </c>
      <c r="B40" s="13" t="s">
        <v>127</v>
      </c>
      <c r="C40" s="13" t="s">
        <v>9</v>
      </c>
      <c r="D40" s="14">
        <v>46085</v>
      </c>
      <c r="E40" s="14">
        <v>46089</v>
      </c>
      <c r="F40" s="15">
        <f t="shared" si="0"/>
        <v>5</v>
      </c>
      <c r="G40" s="13" t="s">
        <v>123</v>
      </c>
      <c r="H40" s="13" t="s">
        <v>32</v>
      </c>
      <c r="I40" s="13" t="s">
        <v>128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 t="s">
        <v>41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</row>
    <row r="41" spans="1:61" ht="14.4" customHeight="1">
      <c r="A41" s="16" t="s">
        <v>129</v>
      </c>
      <c r="B41" s="16" t="s">
        <v>130</v>
      </c>
      <c r="C41" s="16" t="s">
        <v>10</v>
      </c>
      <c r="D41" s="17">
        <v>46085</v>
      </c>
      <c r="E41" s="17">
        <v>46087</v>
      </c>
      <c r="F41" s="18">
        <f t="shared" si="0"/>
        <v>3</v>
      </c>
      <c r="G41" s="16" t="s">
        <v>126</v>
      </c>
      <c r="H41" s="16" t="s">
        <v>32</v>
      </c>
      <c r="I41" s="16" t="s">
        <v>131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</row>
    <row r="42" spans="1:61" ht="14.4" customHeight="1">
      <c r="A42" s="16" t="s">
        <v>132</v>
      </c>
      <c r="B42" s="16" t="s">
        <v>133</v>
      </c>
      <c r="C42" s="16" t="s">
        <v>10</v>
      </c>
      <c r="D42" s="17">
        <v>46087</v>
      </c>
      <c r="E42" s="17">
        <v>46089</v>
      </c>
      <c r="F42" s="18">
        <f t="shared" si="0"/>
        <v>3</v>
      </c>
      <c r="G42" s="16" t="s">
        <v>129</v>
      </c>
      <c r="H42" s="16" t="s">
        <v>32</v>
      </c>
      <c r="I42" s="16" t="s">
        <v>134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</row>
    <row r="43" spans="1:61" ht="16.05" customHeight="1">
      <c r="A43" s="13" t="s">
        <v>135</v>
      </c>
      <c r="B43" s="13" t="s">
        <v>136</v>
      </c>
      <c r="C43" s="13" t="s">
        <v>9</v>
      </c>
      <c r="D43" s="14">
        <v>46089</v>
      </c>
      <c r="E43" s="14">
        <v>46092</v>
      </c>
      <c r="F43" s="15">
        <f t="shared" si="0"/>
        <v>4</v>
      </c>
      <c r="G43" s="13" t="s">
        <v>132</v>
      </c>
      <c r="H43" s="13" t="s">
        <v>32</v>
      </c>
      <c r="I43" s="13" t="s">
        <v>137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 t="s">
        <v>41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</row>
    <row r="44" spans="1:61" ht="17.55" customHeight="1">
      <c r="A44" s="10" t="s">
        <v>138</v>
      </c>
      <c r="B44" s="10" t="s">
        <v>139</v>
      </c>
      <c r="C44" s="10" t="s">
        <v>8</v>
      </c>
      <c r="D44" s="11">
        <v>46093</v>
      </c>
      <c r="E44" s="11">
        <v>46101</v>
      </c>
      <c r="F44" s="12">
        <f t="shared" si="0"/>
        <v>9</v>
      </c>
      <c r="G44" s="10" t="s">
        <v>117</v>
      </c>
      <c r="H44" s="10" t="s">
        <v>32</v>
      </c>
      <c r="I44" s="10" t="s">
        <v>140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 t="s">
        <v>34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</row>
    <row r="45" spans="1:61" ht="16.05" customHeight="1">
      <c r="A45" s="13" t="s">
        <v>141</v>
      </c>
      <c r="B45" s="13" t="s">
        <v>142</v>
      </c>
      <c r="C45" s="13" t="s">
        <v>9</v>
      </c>
      <c r="D45" s="14">
        <v>46093</v>
      </c>
      <c r="E45" s="14">
        <v>46096</v>
      </c>
      <c r="F45" s="15">
        <f t="shared" si="0"/>
        <v>4</v>
      </c>
      <c r="G45" s="13" t="s">
        <v>117</v>
      </c>
      <c r="H45" s="13" t="s">
        <v>32</v>
      </c>
      <c r="I45" s="13" t="s">
        <v>143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 t="s">
        <v>41</v>
      </c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</row>
    <row r="46" spans="1:61" ht="16.05" customHeight="1">
      <c r="A46" s="13" t="s">
        <v>144</v>
      </c>
      <c r="B46" s="13" t="s">
        <v>145</v>
      </c>
      <c r="C46" s="13" t="s">
        <v>9</v>
      </c>
      <c r="D46" s="14">
        <v>46096</v>
      </c>
      <c r="E46" s="14">
        <v>46101</v>
      </c>
      <c r="F46" s="15">
        <f t="shared" si="0"/>
        <v>6</v>
      </c>
      <c r="G46" s="13" t="s">
        <v>141</v>
      </c>
      <c r="H46" s="13" t="s">
        <v>32</v>
      </c>
      <c r="I46" s="13" t="s">
        <v>146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 t="s">
        <v>41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</row>
    <row r="47" spans="1:61" ht="17.55" customHeight="1">
      <c r="A47" s="10" t="s">
        <v>147</v>
      </c>
      <c r="B47" s="10" t="s">
        <v>148</v>
      </c>
      <c r="C47" s="10" t="s">
        <v>8</v>
      </c>
      <c r="D47" s="11">
        <v>46102</v>
      </c>
      <c r="E47" s="11">
        <v>46107</v>
      </c>
      <c r="F47" s="12">
        <f t="shared" si="0"/>
        <v>6</v>
      </c>
      <c r="G47" s="10" t="s">
        <v>138</v>
      </c>
      <c r="H47" s="10" t="s">
        <v>32</v>
      </c>
      <c r="I47" s="10" t="s">
        <v>149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 t="s">
        <v>34</v>
      </c>
      <c r="BB47" s="6"/>
      <c r="BC47" s="6"/>
      <c r="BD47" s="6"/>
      <c r="BE47" s="6"/>
      <c r="BF47" s="6"/>
      <c r="BG47" s="6"/>
      <c r="BH47" s="6"/>
      <c r="BI47" s="6"/>
    </row>
    <row r="48" spans="1:61" ht="16.05" customHeight="1">
      <c r="A48" s="13" t="s">
        <v>150</v>
      </c>
      <c r="B48" s="13" t="s">
        <v>151</v>
      </c>
      <c r="C48" s="13" t="s">
        <v>9</v>
      </c>
      <c r="D48" s="14">
        <v>46102</v>
      </c>
      <c r="E48" s="14">
        <v>46105</v>
      </c>
      <c r="F48" s="15">
        <f t="shared" si="0"/>
        <v>4</v>
      </c>
      <c r="G48" s="13" t="s">
        <v>144</v>
      </c>
      <c r="H48" s="13" t="s">
        <v>32</v>
      </c>
      <c r="I48" s="13" t="s">
        <v>152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 t="s">
        <v>41</v>
      </c>
      <c r="AZ48" s="6"/>
      <c r="BA48" s="6"/>
      <c r="BB48" s="6"/>
      <c r="BC48" s="6"/>
      <c r="BD48" s="6"/>
      <c r="BE48" s="6"/>
      <c r="BF48" s="6"/>
      <c r="BG48" s="6"/>
      <c r="BH48" s="6"/>
      <c r="BI48" s="6"/>
    </row>
    <row r="49" spans="1:61" ht="16.05" customHeight="1">
      <c r="A49" s="13" t="s">
        <v>153</v>
      </c>
      <c r="B49" s="13" t="s">
        <v>154</v>
      </c>
      <c r="C49" s="13" t="s">
        <v>9</v>
      </c>
      <c r="D49" s="14">
        <v>46105</v>
      </c>
      <c r="E49" s="14">
        <v>46107</v>
      </c>
      <c r="F49" s="15">
        <f t="shared" si="0"/>
        <v>3</v>
      </c>
      <c r="G49" s="13" t="s">
        <v>150</v>
      </c>
      <c r="H49" s="13" t="s">
        <v>32</v>
      </c>
      <c r="I49" s="13" t="s">
        <v>155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 t="s">
        <v>41</v>
      </c>
      <c r="BB49" s="6"/>
      <c r="BC49" s="6"/>
      <c r="BD49" s="6"/>
      <c r="BE49" s="6"/>
      <c r="BF49" s="6"/>
      <c r="BG49" s="6"/>
      <c r="BH49" s="6"/>
      <c r="BI49" s="6"/>
    </row>
    <row r="50" spans="1:61" ht="17.55" customHeight="1">
      <c r="A50" s="10" t="s">
        <v>156</v>
      </c>
      <c r="B50" s="10" t="s">
        <v>157</v>
      </c>
      <c r="C50" s="10" t="s">
        <v>8</v>
      </c>
      <c r="D50" s="11">
        <v>46108</v>
      </c>
      <c r="E50" s="11">
        <v>46115</v>
      </c>
      <c r="F50" s="12">
        <f t="shared" si="0"/>
        <v>8</v>
      </c>
      <c r="G50" s="10" t="s">
        <v>147</v>
      </c>
      <c r="H50" s="10" t="s">
        <v>32</v>
      </c>
      <c r="I50" s="10" t="s">
        <v>158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 t="s">
        <v>34</v>
      </c>
    </row>
    <row r="51" spans="1:61" ht="16.05" customHeight="1">
      <c r="A51" s="13" t="s">
        <v>159</v>
      </c>
      <c r="B51" s="13" t="s">
        <v>160</v>
      </c>
      <c r="C51" s="13" t="s">
        <v>9</v>
      </c>
      <c r="D51" s="14">
        <v>46108</v>
      </c>
      <c r="E51" s="14">
        <v>46111</v>
      </c>
      <c r="F51" s="15">
        <f t="shared" si="0"/>
        <v>4</v>
      </c>
      <c r="G51" s="13" t="s">
        <v>147</v>
      </c>
      <c r="H51" s="13" t="s">
        <v>32</v>
      </c>
      <c r="I51" s="13" t="s">
        <v>161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 t="s">
        <v>41</v>
      </c>
      <c r="BF51" s="6"/>
      <c r="BG51" s="6"/>
      <c r="BH51" s="6"/>
      <c r="BI51" s="6"/>
    </row>
    <row r="52" spans="1:61" ht="16.05" customHeight="1">
      <c r="A52" s="13" t="s">
        <v>162</v>
      </c>
      <c r="B52" s="13" t="s">
        <v>163</v>
      </c>
      <c r="C52" s="13" t="s">
        <v>9</v>
      </c>
      <c r="D52" s="14">
        <v>46111</v>
      </c>
      <c r="E52" s="14">
        <v>46113</v>
      </c>
      <c r="F52" s="15">
        <f t="shared" si="0"/>
        <v>3</v>
      </c>
      <c r="G52" s="13" t="s">
        <v>159</v>
      </c>
      <c r="H52" s="13" t="s">
        <v>32</v>
      </c>
      <c r="I52" s="13" t="s">
        <v>164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 t="s">
        <v>41</v>
      </c>
      <c r="BH52" s="6"/>
      <c r="BI52" s="6"/>
    </row>
    <row r="53" spans="1:61" ht="16.05" customHeight="1">
      <c r="A53" s="13" t="s">
        <v>165</v>
      </c>
      <c r="B53" s="13" t="s">
        <v>166</v>
      </c>
      <c r="C53" s="13" t="s">
        <v>9</v>
      </c>
      <c r="D53" s="14">
        <v>46113</v>
      </c>
      <c r="E53" s="14">
        <v>46115</v>
      </c>
      <c r="F53" s="15">
        <f t="shared" si="0"/>
        <v>3</v>
      </c>
      <c r="G53" s="13" t="s">
        <v>162</v>
      </c>
      <c r="H53" s="13" t="s">
        <v>32</v>
      </c>
      <c r="I53" s="13" t="s">
        <v>167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 t="s">
        <v>41</v>
      </c>
    </row>
  </sheetData>
  <mergeCells count="15">
    <mergeCell ref="J6:AA6"/>
    <mergeCell ref="AB6:BF6"/>
    <mergeCell ref="BG6:BI6"/>
    <mergeCell ref="A1:BI1"/>
    <mergeCell ref="A2:BI2"/>
    <mergeCell ref="A4:B5"/>
    <mergeCell ref="C4:D5"/>
    <mergeCell ref="E4:F5"/>
    <mergeCell ref="G4:H5"/>
    <mergeCell ref="I4:I5"/>
    <mergeCell ref="J4:L5"/>
    <mergeCell ref="M4:O5"/>
    <mergeCell ref="P4:R5"/>
    <mergeCell ref="S4:U5"/>
    <mergeCell ref="V4:X5"/>
  </mergeCells>
  <conditionalFormatting sqref="J9:BI53">
    <cfRule type="expression" dxfId="4" priority="1">
      <formula>WEEKDAY(DATE(2026,2,11)+COLUMN(J$9)-COLUMN($J$9),2)&gt;5</formula>
    </cfRule>
    <cfRule type="expression" dxfId="3" priority="2">
      <formula>AND(DATE(2026,2,11)+COLUMN(J$9)-COLUMN($J$9)&gt;=$D9,DATE(2026,2,11)+COLUMN(J$9)-COLUMN($J$9)&lt;=$E9,$C9="Fase")</formula>
    </cfRule>
    <cfRule type="expression" dxfId="2" priority="3">
      <formula>AND(DATE(2026,2,11)+COLUMN(J$9)-COLUMN($J$9)&gt;=$D9,DATE(2026,2,11)+COLUMN(J$9)-COLUMN($J$9)&lt;=$E9,$C9="Requisito")</formula>
    </cfRule>
    <cfRule type="expression" dxfId="1" priority="4">
      <formula>AND(DATE(2026,2,11)+COLUMN(J$9)-COLUMN($J$9)&gt;=$D9,DATE(2026,2,11)+COLUMN(J$9)-COLUMN($J$9)&lt;=$E9,$C9="Función")</formula>
    </cfRule>
    <cfRule type="expression" dxfId="0" priority="5">
      <formula>AND(DATE(2026,2,11)+COLUMN(J$9)-COLUMN($J$9)&gt;=$D9,DATE(2026,2,11)+COLUMN(J$9)-COLUMN($J$9)&lt;=$E9,$C9="Tarea")</formula>
    </cfRule>
  </conditionalFormatting>
  <dataValidations count="2">
    <dataValidation type="list" sqref="C9:C53" xr:uid="{00000000-0002-0000-0000-000000000000}">
      <formula1>"Fase,Requisito,Función,Tarea"</formula1>
    </dataValidation>
    <dataValidation type="list" sqref="H9:H53" xr:uid="{00000000-0002-0000-0000-000001000000}">
      <formula1>"Mario"</formula1>
    </dataValidation>
  </dataValidations>
  <pageMargins left="0.7" right="0.7" top="0.75" bottom="0.75" header="0.3" footer="0.3"/>
  <pageSetup paperSize="25" fitToWidth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/>
  </sheetViews>
  <sheetFormatPr defaultRowHeight="13.8"/>
  <cols>
    <col min="1" max="1" width="12" customWidth="1"/>
    <col min="2" max="2" width="44" customWidth="1"/>
    <col min="3" max="4" width="12" customWidth="1"/>
    <col min="5" max="5" width="16" customWidth="1"/>
    <col min="6" max="6" width="18" customWidth="1"/>
    <col min="7" max="7" width="14" customWidth="1"/>
    <col min="8" max="8" width="12" customWidth="1"/>
    <col min="9" max="9" width="36" customWidth="1"/>
    <col min="10" max="10" width="12" customWidth="1"/>
    <col min="11" max="11" width="8" customWidth="1"/>
    <col min="12" max="12" width="12" customWidth="1"/>
  </cols>
  <sheetData>
    <row r="1" spans="1:12">
      <c r="A1" s="20" t="s">
        <v>22</v>
      </c>
      <c r="B1" s="20" t="s">
        <v>10</v>
      </c>
      <c r="C1" s="20" t="s">
        <v>24</v>
      </c>
      <c r="D1" s="20" t="s">
        <v>25</v>
      </c>
      <c r="E1" s="20" t="s">
        <v>168</v>
      </c>
      <c r="F1" s="20" t="s">
        <v>169</v>
      </c>
      <c r="G1" s="20" t="s">
        <v>170</v>
      </c>
      <c r="H1" s="20" t="s">
        <v>28</v>
      </c>
      <c r="I1" s="20" t="s">
        <v>171</v>
      </c>
      <c r="J1" s="20" t="s">
        <v>23</v>
      </c>
      <c r="K1" s="20" t="s">
        <v>172</v>
      </c>
      <c r="L1" s="20" t="s">
        <v>8</v>
      </c>
    </row>
    <row r="2" spans="1:12">
      <c r="A2" s="3" t="s">
        <v>30</v>
      </c>
      <c r="B2" s="3" t="s">
        <v>31</v>
      </c>
      <c r="C2" s="4">
        <v>46064</v>
      </c>
      <c r="D2" s="4">
        <v>46082</v>
      </c>
      <c r="E2" s="5">
        <v>19</v>
      </c>
      <c r="F2" s="5">
        <f t="shared" ref="F2:F46" si="0">D2-C2+1</f>
        <v>19</v>
      </c>
      <c r="G2" s="3"/>
      <c r="H2" s="3" t="s">
        <v>32</v>
      </c>
      <c r="I2" s="3" t="s">
        <v>33</v>
      </c>
      <c r="J2" s="3" t="s">
        <v>7</v>
      </c>
      <c r="K2" s="3">
        <v>0</v>
      </c>
      <c r="L2" s="3" t="s">
        <v>173</v>
      </c>
    </row>
    <row r="3" spans="1:12">
      <c r="A3" s="3" t="s">
        <v>35</v>
      </c>
      <c r="B3" s="3" t="s">
        <v>36</v>
      </c>
      <c r="C3" s="4">
        <v>46064</v>
      </c>
      <c r="D3" s="4">
        <v>46069</v>
      </c>
      <c r="E3" s="5">
        <v>6</v>
      </c>
      <c r="F3" s="5">
        <f t="shared" si="0"/>
        <v>6</v>
      </c>
      <c r="G3" s="3"/>
      <c r="H3" s="3" t="s">
        <v>32</v>
      </c>
      <c r="I3" s="3" t="s">
        <v>37</v>
      </c>
      <c r="J3" s="3" t="s">
        <v>8</v>
      </c>
      <c r="K3" s="3">
        <v>1</v>
      </c>
      <c r="L3" s="3" t="s">
        <v>174</v>
      </c>
    </row>
    <row r="4" spans="1:12">
      <c r="A4" s="3" t="s">
        <v>38</v>
      </c>
      <c r="B4" s="3" t="s">
        <v>39</v>
      </c>
      <c r="C4" s="4">
        <v>46064</v>
      </c>
      <c r="D4" s="4">
        <v>46066</v>
      </c>
      <c r="E4" s="5">
        <v>3</v>
      </c>
      <c r="F4" s="5">
        <f t="shared" si="0"/>
        <v>3</v>
      </c>
      <c r="G4" s="3"/>
      <c r="H4" s="3" t="s">
        <v>32</v>
      </c>
      <c r="I4" s="3" t="s">
        <v>40</v>
      </c>
      <c r="J4" s="3" t="s">
        <v>9</v>
      </c>
      <c r="K4" s="3">
        <v>2</v>
      </c>
      <c r="L4" s="3" t="s">
        <v>174</v>
      </c>
    </row>
    <row r="5" spans="1:12">
      <c r="A5" s="3" t="s">
        <v>42</v>
      </c>
      <c r="B5" s="3" t="s">
        <v>43</v>
      </c>
      <c r="C5" s="4">
        <v>46064</v>
      </c>
      <c r="D5" s="4">
        <v>46065</v>
      </c>
      <c r="E5" s="5">
        <v>2</v>
      </c>
      <c r="F5" s="5">
        <f t="shared" si="0"/>
        <v>2</v>
      </c>
      <c r="G5" s="3"/>
      <c r="H5" s="3" t="s">
        <v>32</v>
      </c>
      <c r="I5" s="3" t="s">
        <v>44</v>
      </c>
      <c r="J5" s="3" t="s">
        <v>10</v>
      </c>
      <c r="K5" s="3">
        <v>3</v>
      </c>
      <c r="L5" s="3" t="s">
        <v>174</v>
      </c>
    </row>
    <row r="6" spans="1:12">
      <c r="A6" s="3" t="s">
        <v>45</v>
      </c>
      <c r="B6" s="3" t="s">
        <v>46</v>
      </c>
      <c r="C6" s="4">
        <v>46065</v>
      </c>
      <c r="D6" s="4">
        <v>46066</v>
      </c>
      <c r="E6" s="5">
        <v>2</v>
      </c>
      <c r="F6" s="5">
        <f t="shared" si="0"/>
        <v>2</v>
      </c>
      <c r="G6" s="3" t="s">
        <v>42</v>
      </c>
      <c r="H6" s="3" t="s">
        <v>32</v>
      </c>
      <c r="I6" s="3" t="s">
        <v>47</v>
      </c>
      <c r="J6" s="3" t="s">
        <v>10</v>
      </c>
      <c r="K6" s="3">
        <v>3</v>
      </c>
      <c r="L6" s="3" t="s">
        <v>174</v>
      </c>
    </row>
    <row r="7" spans="1:12">
      <c r="A7" s="3" t="s">
        <v>48</v>
      </c>
      <c r="B7" s="3" t="s">
        <v>49</v>
      </c>
      <c r="C7" s="4">
        <v>46066</v>
      </c>
      <c r="D7" s="4">
        <v>46068</v>
      </c>
      <c r="E7" s="5">
        <v>3</v>
      </c>
      <c r="F7" s="5">
        <f t="shared" si="0"/>
        <v>3</v>
      </c>
      <c r="G7" s="3" t="s">
        <v>38</v>
      </c>
      <c r="H7" s="3" t="s">
        <v>32</v>
      </c>
      <c r="I7" s="3" t="s">
        <v>50</v>
      </c>
      <c r="J7" s="3" t="s">
        <v>9</v>
      </c>
      <c r="K7" s="3">
        <v>2</v>
      </c>
      <c r="L7" s="3" t="s">
        <v>174</v>
      </c>
    </row>
    <row r="8" spans="1:12">
      <c r="A8" s="3" t="s">
        <v>51</v>
      </c>
      <c r="B8" s="3" t="s">
        <v>52</v>
      </c>
      <c r="C8" s="4">
        <v>46066</v>
      </c>
      <c r="D8" s="4">
        <v>46067</v>
      </c>
      <c r="E8" s="5">
        <v>2</v>
      </c>
      <c r="F8" s="5">
        <f t="shared" si="0"/>
        <v>2</v>
      </c>
      <c r="G8" s="3" t="s">
        <v>38</v>
      </c>
      <c r="H8" s="3" t="s">
        <v>32</v>
      </c>
      <c r="I8" s="3" t="s">
        <v>53</v>
      </c>
      <c r="J8" s="3" t="s">
        <v>10</v>
      </c>
      <c r="K8" s="3">
        <v>3</v>
      </c>
      <c r="L8" s="3" t="s">
        <v>174</v>
      </c>
    </row>
    <row r="9" spans="1:12">
      <c r="A9" s="3" t="s">
        <v>54</v>
      </c>
      <c r="B9" s="3" t="s">
        <v>55</v>
      </c>
      <c r="C9" s="4">
        <v>46067</v>
      </c>
      <c r="D9" s="4">
        <v>46068</v>
      </c>
      <c r="E9" s="5">
        <v>2</v>
      </c>
      <c r="F9" s="5">
        <f t="shared" si="0"/>
        <v>2</v>
      </c>
      <c r="G9" s="3" t="s">
        <v>51</v>
      </c>
      <c r="H9" s="3" t="s">
        <v>32</v>
      </c>
      <c r="I9" s="3" t="s">
        <v>56</v>
      </c>
      <c r="J9" s="3" t="s">
        <v>10</v>
      </c>
      <c r="K9" s="3">
        <v>3</v>
      </c>
      <c r="L9" s="3" t="s">
        <v>174</v>
      </c>
    </row>
    <row r="10" spans="1:12">
      <c r="A10" s="3" t="s">
        <v>57</v>
      </c>
      <c r="B10" s="3" t="s">
        <v>58</v>
      </c>
      <c r="C10" s="4">
        <v>46068</v>
      </c>
      <c r="D10" s="4">
        <v>46069</v>
      </c>
      <c r="E10" s="5">
        <v>2</v>
      </c>
      <c r="F10" s="5">
        <f t="shared" si="0"/>
        <v>2</v>
      </c>
      <c r="G10" s="3" t="s">
        <v>48</v>
      </c>
      <c r="H10" s="3" t="s">
        <v>32</v>
      </c>
      <c r="I10" s="3" t="s">
        <v>59</v>
      </c>
      <c r="J10" s="3" t="s">
        <v>9</v>
      </c>
      <c r="K10" s="3">
        <v>2</v>
      </c>
      <c r="L10" s="3" t="s">
        <v>174</v>
      </c>
    </row>
    <row r="11" spans="1:12">
      <c r="A11" s="3" t="s">
        <v>60</v>
      </c>
      <c r="B11" s="3" t="s">
        <v>61</v>
      </c>
      <c r="C11" s="4">
        <v>46069</v>
      </c>
      <c r="D11" s="4">
        <v>46074</v>
      </c>
      <c r="E11" s="5">
        <v>6</v>
      </c>
      <c r="F11" s="5">
        <f t="shared" si="0"/>
        <v>6</v>
      </c>
      <c r="G11" s="3" t="s">
        <v>35</v>
      </c>
      <c r="H11" s="3" t="s">
        <v>32</v>
      </c>
      <c r="I11" s="3" t="s">
        <v>62</v>
      </c>
      <c r="J11" s="3" t="s">
        <v>8</v>
      </c>
      <c r="K11" s="3">
        <v>1</v>
      </c>
      <c r="L11" s="3" t="s">
        <v>175</v>
      </c>
    </row>
    <row r="12" spans="1:12">
      <c r="A12" s="3" t="s">
        <v>63</v>
      </c>
      <c r="B12" s="3" t="s">
        <v>64</v>
      </c>
      <c r="C12" s="4">
        <v>46069</v>
      </c>
      <c r="D12" s="4">
        <v>46071</v>
      </c>
      <c r="E12" s="5">
        <v>3</v>
      </c>
      <c r="F12" s="5">
        <f t="shared" si="0"/>
        <v>3</v>
      </c>
      <c r="G12" s="3" t="s">
        <v>35</v>
      </c>
      <c r="H12" s="3" t="s">
        <v>32</v>
      </c>
      <c r="I12" s="3" t="s">
        <v>65</v>
      </c>
      <c r="J12" s="3" t="s">
        <v>9</v>
      </c>
      <c r="K12" s="3">
        <v>2</v>
      </c>
      <c r="L12" s="3" t="s">
        <v>175</v>
      </c>
    </row>
    <row r="13" spans="1:12">
      <c r="A13" s="3" t="s">
        <v>66</v>
      </c>
      <c r="B13" s="3" t="s">
        <v>67</v>
      </c>
      <c r="C13" s="4">
        <v>46069</v>
      </c>
      <c r="D13" s="4">
        <v>46070</v>
      </c>
      <c r="E13" s="5">
        <v>2</v>
      </c>
      <c r="F13" s="5">
        <f t="shared" si="0"/>
        <v>2</v>
      </c>
      <c r="G13" s="3"/>
      <c r="H13" s="3" t="s">
        <v>32</v>
      </c>
      <c r="I13" s="3" t="s">
        <v>68</v>
      </c>
      <c r="J13" s="3" t="s">
        <v>10</v>
      </c>
      <c r="K13" s="3">
        <v>3</v>
      </c>
      <c r="L13" s="3" t="s">
        <v>175</v>
      </c>
    </row>
    <row r="14" spans="1:12">
      <c r="A14" s="3" t="s">
        <v>69</v>
      </c>
      <c r="B14" s="3" t="s">
        <v>70</v>
      </c>
      <c r="C14" s="4">
        <v>46070</v>
      </c>
      <c r="D14" s="4">
        <v>46071</v>
      </c>
      <c r="E14" s="5">
        <v>2</v>
      </c>
      <c r="F14" s="5">
        <f t="shared" si="0"/>
        <v>2</v>
      </c>
      <c r="G14" s="3" t="s">
        <v>66</v>
      </c>
      <c r="H14" s="3" t="s">
        <v>32</v>
      </c>
      <c r="I14" s="3" t="s">
        <v>71</v>
      </c>
      <c r="J14" s="3" t="s">
        <v>10</v>
      </c>
      <c r="K14" s="3">
        <v>3</v>
      </c>
      <c r="L14" s="3" t="s">
        <v>175</v>
      </c>
    </row>
    <row r="15" spans="1:12">
      <c r="A15" s="3" t="s">
        <v>72</v>
      </c>
      <c r="B15" s="3" t="s">
        <v>73</v>
      </c>
      <c r="C15" s="4">
        <v>46071</v>
      </c>
      <c r="D15" s="4">
        <v>46074</v>
      </c>
      <c r="E15" s="5">
        <v>4</v>
      </c>
      <c r="F15" s="5">
        <f t="shared" si="0"/>
        <v>4</v>
      </c>
      <c r="G15" s="3" t="s">
        <v>63</v>
      </c>
      <c r="H15" s="3" t="s">
        <v>32</v>
      </c>
      <c r="I15" s="3" t="s">
        <v>74</v>
      </c>
      <c r="J15" s="3" t="s">
        <v>9</v>
      </c>
      <c r="K15" s="3">
        <v>2</v>
      </c>
      <c r="L15" s="3" t="s">
        <v>175</v>
      </c>
    </row>
    <row r="16" spans="1:12">
      <c r="A16" s="3" t="s">
        <v>75</v>
      </c>
      <c r="B16" s="3" t="s">
        <v>76</v>
      </c>
      <c r="C16" s="4">
        <v>46071</v>
      </c>
      <c r="D16" s="4">
        <v>46073</v>
      </c>
      <c r="E16" s="5">
        <v>3</v>
      </c>
      <c r="F16" s="5">
        <f t="shared" si="0"/>
        <v>3</v>
      </c>
      <c r="G16" s="3" t="s">
        <v>63</v>
      </c>
      <c r="H16" s="3" t="s">
        <v>32</v>
      </c>
      <c r="I16" s="3" t="s">
        <v>77</v>
      </c>
      <c r="J16" s="3" t="s">
        <v>10</v>
      </c>
      <c r="K16" s="3">
        <v>3</v>
      </c>
      <c r="L16" s="3" t="s">
        <v>175</v>
      </c>
    </row>
    <row r="17" spans="1:12">
      <c r="A17" s="3" t="s">
        <v>78</v>
      </c>
      <c r="B17" s="3" t="s">
        <v>79</v>
      </c>
      <c r="C17" s="4">
        <v>46073</v>
      </c>
      <c r="D17" s="4">
        <v>46074</v>
      </c>
      <c r="E17" s="5">
        <v>2</v>
      </c>
      <c r="F17" s="5">
        <f t="shared" si="0"/>
        <v>2</v>
      </c>
      <c r="G17" s="3" t="s">
        <v>75</v>
      </c>
      <c r="H17" s="3" t="s">
        <v>32</v>
      </c>
      <c r="I17" s="3" t="s">
        <v>80</v>
      </c>
      <c r="J17" s="3" t="s">
        <v>10</v>
      </c>
      <c r="K17" s="3">
        <v>3</v>
      </c>
      <c r="L17" s="3" t="s">
        <v>175</v>
      </c>
    </row>
    <row r="18" spans="1:12">
      <c r="A18" s="3" t="s">
        <v>81</v>
      </c>
      <c r="B18" s="3" t="s">
        <v>82</v>
      </c>
      <c r="C18" s="4">
        <v>46074</v>
      </c>
      <c r="D18" s="4">
        <v>46079</v>
      </c>
      <c r="E18" s="5">
        <v>6</v>
      </c>
      <c r="F18" s="5">
        <f t="shared" si="0"/>
        <v>6</v>
      </c>
      <c r="G18" s="3" t="s">
        <v>60</v>
      </c>
      <c r="H18" s="3" t="s">
        <v>32</v>
      </c>
      <c r="I18" s="3" t="s">
        <v>83</v>
      </c>
      <c r="J18" s="3" t="s">
        <v>8</v>
      </c>
      <c r="K18" s="3">
        <v>1</v>
      </c>
      <c r="L18" s="3" t="s">
        <v>176</v>
      </c>
    </row>
    <row r="19" spans="1:12">
      <c r="A19" s="3" t="s">
        <v>84</v>
      </c>
      <c r="B19" s="3" t="s">
        <v>85</v>
      </c>
      <c r="C19" s="4">
        <v>46074</v>
      </c>
      <c r="D19" s="4">
        <v>46077</v>
      </c>
      <c r="E19" s="5">
        <v>4</v>
      </c>
      <c r="F19" s="5">
        <f t="shared" si="0"/>
        <v>4</v>
      </c>
      <c r="G19" s="3" t="s">
        <v>60</v>
      </c>
      <c r="H19" s="3" t="s">
        <v>32</v>
      </c>
      <c r="I19" s="3" t="s">
        <v>86</v>
      </c>
      <c r="J19" s="3" t="s">
        <v>9</v>
      </c>
      <c r="K19" s="3">
        <v>2</v>
      </c>
      <c r="L19" s="3" t="s">
        <v>176</v>
      </c>
    </row>
    <row r="20" spans="1:12">
      <c r="A20" s="3" t="s">
        <v>87</v>
      </c>
      <c r="B20" s="3" t="s">
        <v>88</v>
      </c>
      <c r="C20" s="4">
        <v>46074</v>
      </c>
      <c r="D20" s="4">
        <v>46075</v>
      </c>
      <c r="E20" s="5">
        <v>2</v>
      </c>
      <c r="F20" s="5">
        <f t="shared" si="0"/>
        <v>2</v>
      </c>
      <c r="G20" s="3"/>
      <c r="H20" s="3" t="s">
        <v>32</v>
      </c>
      <c r="I20" s="3" t="s">
        <v>89</v>
      </c>
      <c r="J20" s="3" t="s">
        <v>10</v>
      </c>
      <c r="K20" s="3">
        <v>3</v>
      </c>
      <c r="L20" s="3" t="s">
        <v>176</v>
      </c>
    </row>
    <row r="21" spans="1:12">
      <c r="A21" s="3" t="s">
        <v>90</v>
      </c>
      <c r="B21" s="3" t="s">
        <v>91</v>
      </c>
      <c r="C21" s="4">
        <v>46075</v>
      </c>
      <c r="D21" s="4">
        <v>46076</v>
      </c>
      <c r="E21" s="5">
        <v>2</v>
      </c>
      <c r="F21" s="5">
        <f t="shared" si="0"/>
        <v>2</v>
      </c>
      <c r="G21" s="3" t="s">
        <v>87</v>
      </c>
      <c r="H21" s="3" t="s">
        <v>32</v>
      </c>
      <c r="I21" s="3" t="s">
        <v>92</v>
      </c>
      <c r="J21" s="3" t="s">
        <v>10</v>
      </c>
      <c r="K21" s="3">
        <v>3</v>
      </c>
      <c r="L21" s="3" t="s">
        <v>176</v>
      </c>
    </row>
    <row r="22" spans="1:12">
      <c r="A22" s="3" t="s">
        <v>93</v>
      </c>
      <c r="B22" s="3" t="s">
        <v>94</v>
      </c>
      <c r="C22" s="4">
        <v>46076</v>
      </c>
      <c r="D22" s="4">
        <v>46077</v>
      </c>
      <c r="E22" s="5">
        <v>2</v>
      </c>
      <c r="F22" s="5">
        <f t="shared" si="0"/>
        <v>2</v>
      </c>
      <c r="G22" s="3" t="s">
        <v>90</v>
      </c>
      <c r="H22" s="3" t="s">
        <v>32</v>
      </c>
      <c r="I22" s="3" t="s">
        <v>95</v>
      </c>
      <c r="J22" s="3" t="s">
        <v>10</v>
      </c>
      <c r="K22" s="3">
        <v>3</v>
      </c>
      <c r="L22" s="3" t="s">
        <v>176</v>
      </c>
    </row>
    <row r="23" spans="1:12">
      <c r="A23" s="3" t="s">
        <v>96</v>
      </c>
      <c r="B23" s="3" t="s">
        <v>97</v>
      </c>
      <c r="C23" s="4">
        <v>46077</v>
      </c>
      <c r="D23" s="4">
        <v>46079</v>
      </c>
      <c r="E23" s="5">
        <v>3</v>
      </c>
      <c r="F23" s="5">
        <f t="shared" si="0"/>
        <v>3</v>
      </c>
      <c r="G23" s="3" t="s">
        <v>84</v>
      </c>
      <c r="H23" s="3" t="s">
        <v>32</v>
      </c>
      <c r="I23" s="3" t="s">
        <v>98</v>
      </c>
      <c r="J23" s="3" t="s">
        <v>9</v>
      </c>
      <c r="K23" s="3">
        <v>2</v>
      </c>
      <c r="L23" s="3" t="s">
        <v>176</v>
      </c>
    </row>
    <row r="24" spans="1:12">
      <c r="A24" s="3" t="s">
        <v>99</v>
      </c>
      <c r="B24" s="3" t="s">
        <v>100</v>
      </c>
      <c r="C24" s="4">
        <v>46077</v>
      </c>
      <c r="D24" s="4">
        <v>46078</v>
      </c>
      <c r="E24" s="5">
        <v>2</v>
      </c>
      <c r="F24" s="5">
        <f t="shared" si="0"/>
        <v>2</v>
      </c>
      <c r="G24" s="3"/>
      <c r="H24" s="3" t="s">
        <v>32</v>
      </c>
      <c r="I24" s="3" t="s">
        <v>101</v>
      </c>
      <c r="J24" s="3" t="s">
        <v>10</v>
      </c>
      <c r="K24" s="3">
        <v>3</v>
      </c>
      <c r="L24" s="3" t="s">
        <v>176</v>
      </c>
    </row>
    <row r="25" spans="1:12">
      <c r="A25" s="3" t="s">
        <v>102</v>
      </c>
      <c r="B25" s="3" t="s">
        <v>103</v>
      </c>
      <c r="C25" s="4">
        <v>46079</v>
      </c>
      <c r="D25" s="4">
        <v>46082</v>
      </c>
      <c r="E25" s="5">
        <v>4</v>
      </c>
      <c r="F25" s="5">
        <f t="shared" si="0"/>
        <v>4</v>
      </c>
      <c r="G25" s="3" t="s">
        <v>81</v>
      </c>
      <c r="H25" s="3" t="s">
        <v>32</v>
      </c>
      <c r="I25" s="3" t="s">
        <v>104</v>
      </c>
      <c r="J25" s="3" t="s">
        <v>8</v>
      </c>
      <c r="K25" s="3">
        <v>1</v>
      </c>
      <c r="L25" s="3" t="s">
        <v>177</v>
      </c>
    </row>
    <row r="26" spans="1:12">
      <c r="A26" s="3" t="s">
        <v>105</v>
      </c>
      <c r="B26" s="3" t="s">
        <v>106</v>
      </c>
      <c r="C26" s="4">
        <v>46079</v>
      </c>
      <c r="D26" s="4">
        <v>46081</v>
      </c>
      <c r="E26" s="5">
        <v>3</v>
      </c>
      <c r="F26" s="5">
        <f t="shared" si="0"/>
        <v>3</v>
      </c>
      <c r="G26" s="3" t="s">
        <v>81</v>
      </c>
      <c r="H26" s="3" t="s">
        <v>32</v>
      </c>
      <c r="I26" s="3" t="s">
        <v>107</v>
      </c>
      <c r="J26" s="3" t="s">
        <v>9</v>
      </c>
      <c r="K26" s="3">
        <v>2</v>
      </c>
      <c r="L26" s="3" t="s">
        <v>177</v>
      </c>
    </row>
    <row r="27" spans="1:12">
      <c r="A27" s="3" t="s">
        <v>108</v>
      </c>
      <c r="B27" s="3" t="s">
        <v>109</v>
      </c>
      <c r="C27" s="4">
        <v>46079</v>
      </c>
      <c r="D27" s="4">
        <v>46080</v>
      </c>
      <c r="E27" s="5">
        <v>2</v>
      </c>
      <c r="F27" s="5">
        <f t="shared" si="0"/>
        <v>2</v>
      </c>
      <c r="G27" s="3"/>
      <c r="H27" s="3" t="s">
        <v>32</v>
      </c>
      <c r="I27" s="3" t="s">
        <v>110</v>
      </c>
      <c r="J27" s="3" t="s">
        <v>10</v>
      </c>
      <c r="K27" s="3">
        <v>3</v>
      </c>
      <c r="L27" s="3" t="s">
        <v>177</v>
      </c>
    </row>
    <row r="28" spans="1:12">
      <c r="A28" s="3" t="s">
        <v>111</v>
      </c>
      <c r="B28" s="3" t="s">
        <v>112</v>
      </c>
      <c r="C28" s="4">
        <v>46080</v>
      </c>
      <c r="D28" s="4">
        <v>46081</v>
      </c>
      <c r="E28" s="5">
        <v>2</v>
      </c>
      <c r="F28" s="5">
        <f t="shared" si="0"/>
        <v>2</v>
      </c>
      <c r="G28" s="3" t="s">
        <v>108</v>
      </c>
      <c r="H28" s="3" t="s">
        <v>32</v>
      </c>
      <c r="I28" s="3" t="s">
        <v>113</v>
      </c>
      <c r="J28" s="3" t="s">
        <v>10</v>
      </c>
      <c r="K28" s="3">
        <v>3</v>
      </c>
      <c r="L28" s="3" t="s">
        <v>177</v>
      </c>
    </row>
    <row r="29" spans="1:12">
      <c r="A29" s="3" t="s">
        <v>114</v>
      </c>
      <c r="B29" s="3" t="s">
        <v>115</v>
      </c>
      <c r="C29" s="4">
        <v>46081</v>
      </c>
      <c r="D29" s="4">
        <v>46082</v>
      </c>
      <c r="E29" s="5">
        <v>2</v>
      </c>
      <c r="F29" s="5">
        <f t="shared" si="0"/>
        <v>2</v>
      </c>
      <c r="G29" s="3" t="s">
        <v>105</v>
      </c>
      <c r="H29" s="3" t="s">
        <v>32</v>
      </c>
      <c r="I29" s="3" t="s">
        <v>116</v>
      </c>
      <c r="J29" s="3" t="s">
        <v>9</v>
      </c>
      <c r="K29" s="3">
        <v>2</v>
      </c>
      <c r="L29" s="3" t="s">
        <v>177</v>
      </c>
    </row>
    <row r="30" spans="1:12">
      <c r="A30" s="3" t="s">
        <v>117</v>
      </c>
      <c r="B30" s="3" t="s">
        <v>118</v>
      </c>
      <c r="C30" s="4">
        <v>46083</v>
      </c>
      <c r="D30" s="4">
        <v>46092</v>
      </c>
      <c r="E30" s="5">
        <v>10</v>
      </c>
      <c r="F30" s="5">
        <f t="shared" si="0"/>
        <v>10</v>
      </c>
      <c r="G30" s="3" t="s">
        <v>102</v>
      </c>
      <c r="H30" s="3" t="s">
        <v>32</v>
      </c>
      <c r="I30" s="3" t="s">
        <v>119</v>
      </c>
      <c r="J30" s="3" t="s">
        <v>8</v>
      </c>
      <c r="K30" s="3">
        <v>1</v>
      </c>
      <c r="L30" s="3" t="s">
        <v>178</v>
      </c>
    </row>
    <row r="31" spans="1:12">
      <c r="A31" s="3" t="s">
        <v>120</v>
      </c>
      <c r="B31" s="3" t="s">
        <v>121</v>
      </c>
      <c r="C31" s="4">
        <v>46083</v>
      </c>
      <c r="D31" s="4">
        <v>46085</v>
      </c>
      <c r="E31" s="5">
        <v>3</v>
      </c>
      <c r="F31" s="5">
        <f t="shared" si="0"/>
        <v>3</v>
      </c>
      <c r="G31" s="3" t="s">
        <v>102</v>
      </c>
      <c r="H31" s="3" t="s">
        <v>32</v>
      </c>
      <c r="I31" s="3" t="s">
        <v>122</v>
      </c>
      <c r="J31" s="3" t="s">
        <v>9</v>
      </c>
      <c r="K31" s="3">
        <v>2</v>
      </c>
      <c r="L31" s="3" t="s">
        <v>178</v>
      </c>
    </row>
    <row r="32" spans="1:12">
      <c r="A32" s="3" t="s">
        <v>123</v>
      </c>
      <c r="B32" s="3" t="s">
        <v>124</v>
      </c>
      <c r="C32" s="4">
        <v>46083</v>
      </c>
      <c r="D32" s="4">
        <v>46085</v>
      </c>
      <c r="E32" s="5">
        <v>3</v>
      </c>
      <c r="F32" s="5">
        <f t="shared" si="0"/>
        <v>3</v>
      </c>
      <c r="G32" s="3" t="s">
        <v>120</v>
      </c>
      <c r="H32" s="3" t="s">
        <v>32</v>
      </c>
      <c r="I32" s="3" t="s">
        <v>125</v>
      </c>
      <c r="J32" s="3" t="s">
        <v>10</v>
      </c>
      <c r="K32" s="3">
        <v>3</v>
      </c>
      <c r="L32" s="3" t="s">
        <v>178</v>
      </c>
    </row>
    <row r="33" spans="1:12">
      <c r="A33" s="3" t="s">
        <v>126</v>
      </c>
      <c r="B33" s="3" t="s">
        <v>127</v>
      </c>
      <c r="C33" s="4">
        <v>46085</v>
      </c>
      <c r="D33" s="4">
        <v>46089</v>
      </c>
      <c r="E33" s="5">
        <v>5</v>
      </c>
      <c r="F33" s="5">
        <f t="shared" si="0"/>
        <v>5</v>
      </c>
      <c r="G33" s="3" t="s">
        <v>123</v>
      </c>
      <c r="H33" s="3" t="s">
        <v>32</v>
      </c>
      <c r="I33" s="3" t="s">
        <v>128</v>
      </c>
      <c r="J33" s="3" t="s">
        <v>9</v>
      </c>
      <c r="K33" s="3">
        <v>2</v>
      </c>
      <c r="L33" s="3" t="s">
        <v>178</v>
      </c>
    </row>
    <row r="34" spans="1:12">
      <c r="A34" s="3" t="s">
        <v>129</v>
      </c>
      <c r="B34" s="3" t="s">
        <v>130</v>
      </c>
      <c r="C34" s="4">
        <v>46085</v>
      </c>
      <c r="D34" s="4">
        <v>46087</v>
      </c>
      <c r="E34" s="5">
        <v>3</v>
      </c>
      <c r="F34" s="5">
        <f t="shared" si="0"/>
        <v>3</v>
      </c>
      <c r="G34" s="3" t="s">
        <v>126</v>
      </c>
      <c r="H34" s="3" t="s">
        <v>32</v>
      </c>
      <c r="I34" s="3" t="s">
        <v>131</v>
      </c>
      <c r="J34" s="3" t="s">
        <v>10</v>
      </c>
      <c r="K34" s="3">
        <v>3</v>
      </c>
      <c r="L34" s="3" t="s">
        <v>178</v>
      </c>
    </row>
    <row r="35" spans="1:12">
      <c r="A35" s="3" t="s">
        <v>132</v>
      </c>
      <c r="B35" s="3" t="s">
        <v>133</v>
      </c>
      <c r="C35" s="4">
        <v>46087</v>
      </c>
      <c r="D35" s="4">
        <v>46089</v>
      </c>
      <c r="E35" s="5">
        <v>3</v>
      </c>
      <c r="F35" s="5">
        <f t="shared" si="0"/>
        <v>3</v>
      </c>
      <c r="G35" s="3" t="s">
        <v>129</v>
      </c>
      <c r="H35" s="3" t="s">
        <v>32</v>
      </c>
      <c r="I35" s="3" t="s">
        <v>134</v>
      </c>
      <c r="J35" s="3" t="s">
        <v>10</v>
      </c>
      <c r="K35" s="3">
        <v>3</v>
      </c>
      <c r="L35" s="3" t="s">
        <v>178</v>
      </c>
    </row>
    <row r="36" spans="1:12">
      <c r="A36" s="3" t="s">
        <v>135</v>
      </c>
      <c r="B36" s="3" t="s">
        <v>136</v>
      </c>
      <c r="C36" s="4">
        <v>46089</v>
      </c>
      <c r="D36" s="4">
        <v>46092</v>
      </c>
      <c r="E36" s="5">
        <v>4</v>
      </c>
      <c r="F36" s="5">
        <f t="shared" si="0"/>
        <v>4</v>
      </c>
      <c r="G36" s="3" t="s">
        <v>132</v>
      </c>
      <c r="H36" s="3" t="s">
        <v>32</v>
      </c>
      <c r="I36" s="3" t="s">
        <v>137</v>
      </c>
      <c r="J36" s="3" t="s">
        <v>9</v>
      </c>
      <c r="K36" s="3">
        <v>2</v>
      </c>
      <c r="L36" s="3" t="s">
        <v>178</v>
      </c>
    </row>
    <row r="37" spans="1:12">
      <c r="A37" s="3" t="s">
        <v>138</v>
      </c>
      <c r="B37" s="3" t="s">
        <v>139</v>
      </c>
      <c r="C37" s="4">
        <v>46093</v>
      </c>
      <c r="D37" s="4">
        <v>46101</v>
      </c>
      <c r="E37" s="5">
        <v>9</v>
      </c>
      <c r="F37" s="5">
        <f t="shared" si="0"/>
        <v>9</v>
      </c>
      <c r="G37" s="3" t="s">
        <v>117</v>
      </c>
      <c r="H37" s="3" t="s">
        <v>32</v>
      </c>
      <c r="I37" s="3" t="s">
        <v>140</v>
      </c>
      <c r="J37" s="3" t="s">
        <v>8</v>
      </c>
      <c r="K37" s="3">
        <v>1</v>
      </c>
      <c r="L37" s="3" t="s">
        <v>179</v>
      </c>
    </row>
    <row r="38" spans="1:12">
      <c r="A38" s="3" t="s">
        <v>141</v>
      </c>
      <c r="B38" s="3" t="s">
        <v>142</v>
      </c>
      <c r="C38" s="4">
        <v>46093</v>
      </c>
      <c r="D38" s="4">
        <v>46096</v>
      </c>
      <c r="E38" s="5">
        <v>4</v>
      </c>
      <c r="F38" s="5">
        <f t="shared" si="0"/>
        <v>4</v>
      </c>
      <c r="G38" s="3" t="s">
        <v>117</v>
      </c>
      <c r="H38" s="3" t="s">
        <v>32</v>
      </c>
      <c r="I38" s="3" t="s">
        <v>143</v>
      </c>
      <c r="J38" s="3" t="s">
        <v>9</v>
      </c>
      <c r="K38" s="3">
        <v>2</v>
      </c>
      <c r="L38" s="3" t="s">
        <v>179</v>
      </c>
    </row>
    <row r="39" spans="1:12">
      <c r="A39" s="3" t="s">
        <v>144</v>
      </c>
      <c r="B39" s="3" t="s">
        <v>145</v>
      </c>
      <c r="C39" s="4">
        <v>46096</v>
      </c>
      <c r="D39" s="4">
        <v>46101</v>
      </c>
      <c r="E39" s="5">
        <v>6</v>
      </c>
      <c r="F39" s="5">
        <f t="shared" si="0"/>
        <v>6</v>
      </c>
      <c r="G39" s="3" t="s">
        <v>141</v>
      </c>
      <c r="H39" s="3" t="s">
        <v>32</v>
      </c>
      <c r="I39" s="3" t="s">
        <v>146</v>
      </c>
      <c r="J39" s="3" t="s">
        <v>9</v>
      </c>
      <c r="K39" s="3">
        <v>2</v>
      </c>
      <c r="L39" s="3" t="s">
        <v>179</v>
      </c>
    </row>
    <row r="40" spans="1:12">
      <c r="A40" s="3" t="s">
        <v>147</v>
      </c>
      <c r="B40" s="3" t="s">
        <v>148</v>
      </c>
      <c r="C40" s="4">
        <v>46102</v>
      </c>
      <c r="D40" s="4">
        <v>46107</v>
      </c>
      <c r="E40" s="5">
        <v>6</v>
      </c>
      <c r="F40" s="5">
        <f t="shared" si="0"/>
        <v>6</v>
      </c>
      <c r="G40" s="3" t="s">
        <v>138</v>
      </c>
      <c r="H40" s="3" t="s">
        <v>32</v>
      </c>
      <c r="I40" s="3" t="s">
        <v>149</v>
      </c>
      <c r="J40" s="3" t="s">
        <v>8</v>
      </c>
      <c r="K40" s="3">
        <v>1</v>
      </c>
      <c r="L40" s="3" t="s">
        <v>180</v>
      </c>
    </row>
    <row r="41" spans="1:12">
      <c r="A41" s="3" t="s">
        <v>150</v>
      </c>
      <c r="B41" s="3" t="s">
        <v>151</v>
      </c>
      <c r="C41" s="4">
        <v>46102</v>
      </c>
      <c r="D41" s="4">
        <v>46105</v>
      </c>
      <c r="E41" s="5">
        <v>4</v>
      </c>
      <c r="F41" s="5">
        <f t="shared" si="0"/>
        <v>4</v>
      </c>
      <c r="G41" s="3" t="s">
        <v>144</v>
      </c>
      <c r="H41" s="3" t="s">
        <v>32</v>
      </c>
      <c r="I41" s="3" t="s">
        <v>152</v>
      </c>
      <c r="J41" s="3" t="s">
        <v>9</v>
      </c>
      <c r="K41" s="3">
        <v>2</v>
      </c>
      <c r="L41" s="3" t="s">
        <v>180</v>
      </c>
    </row>
    <row r="42" spans="1:12">
      <c r="A42" s="3" t="s">
        <v>153</v>
      </c>
      <c r="B42" s="3" t="s">
        <v>154</v>
      </c>
      <c r="C42" s="4">
        <v>46105</v>
      </c>
      <c r="D42" s="4">
        <v>46107</v>
      </c>
      <c r="E42" s="5">
        <v>3</v>
      </c>
      <c r="F42" s="5">
        <f t="shared" si="0"/>
        <v>3</v>
      </c>
      <c r="G42" s="3" t="s">
        <v>150</v>
      </c>
      <c r="H42" s="3" t="s">
        <v>32</v>
      </c>
      <c r="I42" s="3" t="s">
        <v>155</v>
      </c>
      <c r="J42" s="3" t="s">
        <v>9</v>
      </c>
      <c r="K42" s="3">
        <v>2</v>
      </c>
      <c r="L42" s="3" t="s">
        <v>180</v>
      </c>
    </row>
    <row r="43" spans="1:12">
      <c r="A43" s="3" t="s">
        <v>156</v>
      </c>
      <c r="B43" s="3" t="s">
        <v>157</v>
      </c>
      <c r="C43" s="4">
        <v>46108</v>
      </c>
      <c r="D43" s="4">
        <v>46115</v>
      </c>
      <c r="E43" s="5">
        <v>8</v>
      </c>
      <c r="F43" s="5">
        <f t="shared" si="0"/>
        <v>8</v>
      </c>
      <c r="G43" s="3" t="s">
        <v>147</v>
      </c>
      <c r="H43" s="3" t="s">
        <v>32</v>
      </c>
      <c r="I43" s="3" t="s">
        <v>158</v>
      </c>
      <c r="J43" s="3" t="s">
        <v>8</v>
      </c>
      <c r="K43" s="3">
        <v>1</v>
      </c>
      <c r="L43" s="3" t="s">
        <v>181</v>
      </c>
    </row>
    <row r="44" spans="1:12">
      <c r="A44" s="3" t="s">
        <v>159</v>
      </c>
      <c r="B44" s="3" t="s">
        <v>160</v>
      </c>
      <c r="C44" s="4">
        <v>46108</v>
      </c>
      <c r="D44" s="4">
        <v>46111</v>
      </c>
      <c r="E44" s="5">
        <v>4</v>
      </c>
      <c r="F44" s="5">
        <f t="shared" si="0"/>
        <v>4</v>
      </c>
      <c r="G44" s="3" t="s">
        <v>147</v>
      </c>
      <c r="H44" s="3" t="s">
        <v>32</v>
      </c>
      <c r="I44" s="3" t="s">
        <v>161</v>
      </c>
      <c r="J44" s="3" t="s">
        <v>9</v>
      </c>
      <c r="K44" s="3">
        <v>2</v>
      </c>
      <c r="L44" s="3" t="s">
        <v>181</v>
      </c>
    </row>
    <row r="45" spans="1:12">
      <c r="A45" s="3" t="s">
        <v>162</v>
      </c>
      <c r="B45" s="3" t="s">
        <v>163</v>
      </c>
      <c r="C45" s="4">
        <v>46111</v>
      </c>
      <c r="D45" s="4">
        <v>46113</v>
      </c>
      <c r="E45" s="5">
        <v>3</v>
      </c>
      <c r="F45" s="5">
        <f t="shared" si="0"/>
        <v>3</v>
      </c>
      <c r="G45" s="3" t="s">
        <v>159</v>
      </c>
      <c r="H45" s="3" t="s">
        <v>32</v>
      </c>
      <c r="I45" s="3" t="s">
        <v>164</v>
      </c>
      <c r="J45" s="3" t="s">
        <v>9</v>
      </c>
      <c r="K45" s="3">
        <v>2</v>
      </c>
      <c r="L45" s="3" t="s">
        <v>181</v>
      </c>
    </row>
    <row r="46" spans="1:12">
      <c r="A46" s="3" t="s">
        <v>165</v>
      </c>
      <c r="B46" s="3" t="s">
        <v>166</v>
      </c>
      <c r="C46" s="4">
        <v>46113</v>
      </c>
      <c r="D46" s="4">
        <v>46115</v>
      </c>
      <c r="E46" s="5">
        <v>3</v>
      </c>
      <c r="F46" s="5">
        <f t="shared" si="0"/>
        <v>3</v>
      </c>
      <c r="G46" s="3" t="s">
        <v>162</v>
      </c>
      <c r="H46" s="3" t="s">
        <v>32</v>
      </c>
      <c r="I46" s="3" t="s">
        <v>167</v>
      </c>
      <c r="J46" s="3" t="s">
        <v>9</v>
      </c>
      <c r="K46" s="3">
        <v>2</v>
      </c>
      <c r="L46" s="3" t="s">
        <v>181</v>
      </c>
    </row>
  </sheetData>
  <dataValidations count="1">
    <dataValidation type="list" sqref="J2:J46" xr:uid="{00000000-0002-0000-0100-000000000000}">
      <formula1>"Fase,Requisito,Función,Tarea"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3.8"/>
  <cols>
    <col min="1" max="1" width="10" customWidth="1"/>
    <col min="2" max="2" width="36" customWidth="1"/>
    <col min="3" max="4" width="12" customWidth="1"/>
    <col min="5" max="5" width="8" customWidth="1"/>
    <col min="6" max="6" width="12" customWidth="1"/>
    <col min="7" max="7" width="36" customWidth="1"/>
    <col min="9" max="9" width="22" customWidth="1"/>
    <col min="10" max="10" width="18" customWidth="1"/>
  </cols>
  <sheetData>
    <row r="1" spans="1:10" ht="24" customHeight="1">
      <c r="A1" s="38" t="s">
        <v>182</v>
      </c>
      <c r="B1" s="29"/>
      <c r="C1" s="29"/>
      <c r="D1" s="29"/>
      <c r="E1" s="29"/>
      <c r="F1" s="29"/>
      <c r="G1" s="29"/>
    </row>
    <row r="3" spans="1:10">
      <c r="A3" s="20" t="s">
        <v>183</v>
      </c>
      <c r="B3" s="20" t="s">
        <v>184</v>
      </c>
      <c r="C3" s="20" t="s">
        <v>24</v>
      </c>
      <c r="D3" s="20" t="s">
        <v>25</v>
      </c>
      <c r="E3" s="20" t="s">
        <v>185</v>
      </c>
      <c r="F3" s="20" t="s">
        <v>186</v>
      </c>
      <c r="G3" s="20" t="s">
        <v>187</v>
      </c>
      <c r="I3" s="19" t="s">
        <v>188</v>
      </c>
      <c r="J3" s="19" t="s">
        <v>189</v>
      </c>
    </row>
    <row r="4" spans="1:10">
      <c r="A4" s="21" t="s">
        <v>174</v>
      </c>
      <c r="B4" s="21" t="s">
        <v>190</v>
      </c>
      <c r="C4" s="22">
        <v>46064</v>
      </c>
      <c r="D4" s="22">
        <v>46069</v>
      </c>
      <c r="E4" s="23">
        <v>6</v>
      </c>
      <c r="F4" s="23">
        <v>8</v>
      </c>
      <c r="G4" s="21" t="s">
        <v>37</v>
      </c>
      <c r="I4" s="24" t="s">
        <v>191</v>
      </c>
      <c r="J4" s="25">
        <v>46064</v>
      </c>
    </row>
    <row r="5" spans="1:10">
      <c r="A5" s="21" t="s">
        <v>175</v>
      </c>
      <c r="B5" s="21" t="s">
        <v>192</v>
      </c>
      <c r="C5" s="22">
        <v>46069</v>
      </c>
      <c r="D5" s="22">
        <v>46074</v>
      </c>
      <c r="E5" s="23">
        <v>6</v>
      </c>
      <c r="F5" s="23">
        <v>7</v>
      </c>
      <c r="G5" s="21" t="s">
        <v>62</v>
      </c>
      <c r="I5" s="24" t="s">
        <v>193</v>
      </c>
      <c r="J5" s="25">
        <v>46115</v>
      </c>
    </row>
    <row r="6" spans="1:10">
      <c r="A6" s="21" t="s">
        <v>176</v>
      </c>
      <c r="B6" s="21" t="s">
        <v>194</v>
      </c>
      <c r="C6" s="22">
        <v>46074</v>
      </c>
      <c r="D6" s="22">
        <v>46079</v>
      </c>
      <c r="E6" s="23">
        <v>6</v>
      </c>
      <c r="F6" s="23">
        <v>7</v>
      </c>
      <c r="G6" s="21" t="s">
        <v>83</v>
      </c>
      <c r="I6" s="24" t="s">
        <v>195</v>
      </c>
      <c r="J6" s="24">
        <v>52</v>
      </c>
    </row>
    <row r="7" spans="1:10">
      <c r="A7" s="21" t="s">
        <v>177</v>
      </c>
      <c r="B7" s="21" t="s">
        <v>196</v>
      </c>
      <c r="C7" s="22">
        <v>46079</v>
      </c>
      <c r="D7" s="22">
        <v>46082</v>
      </c>
      <c r="E7" s="23">
        <v>4</v>
      </c>
      <c r="F7" s="23">
        <v>5</v>
      </c>
      <c r="G7" s="21" t="s">
        <v>104</v>
      </c>
      <c r="I7" s="24" t="s">
        <v>197</v>
      </c>
      <c r="J7" s="24">
        <v>45</v>
      </c>
    </row>
    <row r="8" spans="1:10">
      <c r="A8" s="21" t="s">
        <v>178</v>
      </c>
      <c r="B8" s="21" t="s">
        <v>198</v>
      </c>
      <c r="C8" s="22">
        <v>46083</v>
      </c>
      <c r="D8" s="22">
        <v>46092</v>
      </c>
      <c r="E8" s="23">
        <v>10</v>
      </c>
      <c r="F8" s="23">
        <v>7</v>
      </c>
      <c r="G8" s="21" t="s">
        <v>119</v>
      </c>
      <c r="I8" s="24" t="s">
        <v>199</v>
      </c>
      <c r="J8" s="24">
        <v>37</v>
      </c>
    </row>
    <row r="9" spans="1:10">
      <c r="A9" s="21" t="s">
        <v>179</v>
      </c>
      <c r="B9" s="21" t="s">
        <v>200</v>
      </c>
      <c r="C9" s="22">
        <v>46093</v>
      </c>
      <c r="D9" s="22">
        <v>46101</v>
      </c>
      <c r="E9" s="23">
        <v>9</v>
      </c>
      <c r="F9" s="23">
        <v>3</v>
      </c>
      <c r="G9" s="21" t="s">
        <v>140</v>
      </c>
    </row>
    <row r="10" spans="1:10">
      <c r="A10" s="21" t="s">
        <v>180</v>
      </c>
      <c r="B10" s="21" t="s">
        <v>201</v>
      </c>
      <c r="C10" s="22">
        <v>46102</v>
      </c>
      <c r="D10" s="22">
        <v>46107</v>
      </c>
      <c r="E10" s="23">
        <v>6</v>
      </c>
      <c r="F10" s="23">
        <v>3</v>
      </c>
      <c r="G10" s="21" t="s">
        <v>149</v>
      </c>
    </row>
    <row r="11" spans="1:10">
      <c r="A11" s="21" t="s">
        <v>181</v>
      </c>
      <c r="B11" s="21" t="s">
        <v>202</v>
      </c>
      <c r="C11" s="22">
        <v>46108</v>
      </c>
      <c r="D11" s="22">
        <v>46115</v>
      </c>
      <c r="E11" s="23">
        <v>8</v>
      </c>
      <c r="F11" s="23">
        <v>4</v>
      </c>
      <c r="G11" s="21" t="s">
        <v>158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3.8"/>
  <cols>
    <col min="1" max="1" width="6" customWidth="1"/>
    <col min="2" max="2" width="100" customWidth="1"/>
  </cols>
  <sheetData>
    <row r="1" spans="1:2" ht="22.35" customHeight="1">
      <c r="A1" s="39" t="s">
        <v>203</v>
      </c>
      <c r="B1" s="29"/>
    </row>
    <row r="2" spans="1:2">
      <c r="A2" s="26" t="s">
        <v>204</v>
      </c>
      <c r="B2" s="26" t="s">
        <v>205</v>
      </c>
    </row>
    <row r="3" spans="1:2">
      <c r="A3" s="26" t="s">
        <v>206</v>
      </c>
      <c r="B3" s="26" t="s">
        <v>207</v>
      </c>
    </row>
    <row r="4" spans="1:2">
      <c r="A4" s="26" t="s">
        <v>208</v>
      </c>
      <c r="B4" s="26" t="s">
        <v>209</v>
      </c>
    </row>
    <row r="5" spans="1:2">
      <c r="A5" s="26" t="s">
        <v>210</v>
      </c>
      <c r="B5" s="26" t="s">
        <v>211</v>
      </c>
    </row>
    <row r="6" spans="1:2" ht="26.4">
      <c r="A6" s="26" t="s">
        <v>212</v>
      </c>
      <c r="B6" s="26" t="s">
        <v>213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 mejorado</vt:lpstr>
      <vt:lpstr>Datos</vt:lpstr>
      <vt:lpstr>Resumen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masenjo</dc:creator>
  <cp:lastModifiedBy>Mario Asenjo Pérez</cp:lastModifiedBy>
  <cp:lastPrinted>2026-05-05T08:37:16Z</cp:lastPrinted>
  <dcterms:created xsi:type="dcterms:W3CDTF">2026-05-05T08:37:44Z</dcterms:created>
  <dcterms:modified xsi:type="dcterms:W3CDTF">2026-05-05T08:37:44Z</dcterms:modified>
</cp:coreProperties>
</file>